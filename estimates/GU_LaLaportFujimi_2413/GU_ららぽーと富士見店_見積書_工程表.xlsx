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  <sheet xmlns:r="http://schemas.openxmlformats.org/officeDocument/2006/relationships" name="内訳書" sheetId="2" state="visible" r:id="rId2"/>
    <sheet xmlns:r="http://schemas.openxmlformats.org/officeDocument/2006/relationships" name="明細書" sheetId="3" state="visible" r:id="rId3"/>
    <sheet xmlns:r="http://schemas.openxmlformats.org/officeDocument/2006/relationships" name="数量根拠" sheetId="4" state="visible" r:id="rId4"/>
    <sheet xmlns:r="http://schemas.openxmlformats.org/officeDocument/2006/relationships" name="施工工程表" sheetId="5" state="visible" r:id="rId5"/>
    <sheet xmlns:r="http://schemas.openxmlformats.org/officeDocument/2006/relationships" name="全体工程表" sheetId="6" state="visible" r:id="rId6"/>
  </sheets>
  <definedNames>
    <definedName name="_xlnm.Print_Titles" localSheetId="2">'明細書'!$4:$4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yyyy-mm-dd"/>
    <numFmt numFmtId="167" formatCode="yyyy年m月d日"/>
    <numFmt numFmtId="168" formatCode="&quot;¥&quot;#,##0&quot;-&quot;"/>
    <numFmt numFmtId="169" formatCode="&quot;¥&quot;#,##0"/>
  </numFmts>
  <fonts count="12">
    <font>
      <name val="Calibri"/>
      <family val="2"/>
      <color theme="1"/>
      <sz val="11"/>
      <scheme val="minor"/>
    </font>
    <font>
      <name val="游ゴシック"/>
      <b val="1"/>
      <color rgb="00000000"/>
      <sz val="14"/>
    </font>
    <font>
      <name val="游ゴシック"/>
      <color rgb="00000000"/>
      <sz val="10"/>
    </font>
    <font>
      <name val="游ゴシック"/>
      <b val="1"/>
      <color rgb="00000000"/>
      <sz val="10"/>
    </font>
    <font>
      <name val="游ゴシック"/>
      <color rgb="00000000"/>
      <sz val="9"/>
    </font>
    <font>
      <name val="游ゴシック"/>
      <b val="1"/>
      <color rgb="00000000"/>
      <sz val="9"/>
    </font>
    <font>
      <name val="游ゴシック"/>
      <b val="1"/>
      <color rgb="00000000"/>
      <sz val="11"/>
    </font>
    <font>
      <name val="游ゴシック"/>
      <b val="1"/>
      <color rgb="00000000"/>
      <sz val="22"/>
    </font>
    <font>
      <name val="游ゴシック"/>
      <b val="1"/>
      <color rgb="00000000"/>
      <sz val="12"/>
    </font>
    <font>
      <name val="游ゴシック"/>
      <b val="1"/>
      <color rgb="00000000"/>
      <sz val="18"/>
    </font>
    <font>
      <name val="游ゴシック"/>
      <color rgb="00000000"/>
      <sz val="7"/>
    </font>
    <font>
      <name val="游ゴシック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DE9D9"/>
      </patternFill>
    </fill>
    <fill>
      <patternFill patternType="solid">
        <fgColor rgb="004F81BD"/>
      </patternFill>
    </fill>
    <fill>
      <patternFill patternType="solid">
        <fgColor rgb="00F79646"/>
      </patternFill>
    </fill>
    <fill>
      <patternFill patternType="solid">
        <fgColor rgb="009BBB59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bottom style="medium"/>
    </border>
    <border>
      <bottom style="double"/>
    </border>
    <border>
      <bottom style="thin">
        <color rgb="0080808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2" fillId="0" borderId="0" pivotButton="0" quotePrefix="0" xfId="0"/>
    <xf numFmtId="0" fontId="7" fillId="0" borderId="0" applyAlignment="1" pivotButton="0" quotePrefix="0" xfId="0">
      <alignment horizontal="center"/>
    </xf>
    <xf numFmtId="167" fontId="2" fillId="0" borderId="0" pivotButton="0" quotePrefix="0" xfId="0"/>
    <xf numFmtId="0" fontId="1" fillId="0" borderId="2" pivotButton="0" quotePrefix="0" xfId="0"/>
    <xf numFmtId="0" fontId="8" fillId="0" borderId="0" pivotButton="0" quotePrefix="0" xfId="0"/>
    <xf numFmtId="168" fontId="9" fillId="0" borderId="3" pivotButton="0" quotePrefix="0" xfId="0"/>
    <xf numFmtId="169" fontId="2" fillId="0" borderId="0" pivotButton="0" quotePrefix="0" xfId="0"/>
    <xf numFmtId="0" fontId="3" fillId="0" borderId="4" pivotButton="0" quotePrefix="0" xfId="0"/>
    <xf numFmtId="0" fontId="2" fillId="0" borderId="4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3" fontId="3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3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64" fontId="4" fillId="0" borderId="1" applyAlignment="1" pivotButton="0" quotePrefix="0" xfId="0">
      <alignment vertical="center"/>
    </xf>
    <xf numFmtId="0" fontId="3" fillId="2" borderId="1" pivotButton="0" quotePrefix="0" xfId="0"/>
    <xf numFmtId="164" fontId="2" fillId="0" borderId="1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5" fillId="2" borderId="1" pivotButton="0" quotePrefix="0" xfId="0"/>
    <xf numFmtId="0" fontId="4" fillId="0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2" t="inlineStr">
        <is>
          <t>御 見 積 書</t>
        </is>
      </c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inlineStr">
        <is>
          <t>見積No.</t>
        </is>
      </c>
      <c r="G4" s="1" t="inlineStr">
        <is>
          <t>2413-001</t>
        </is>
      </c>
    </row>
    <row r="5">
      <c r="A5" s="1" t="n"/>
      <c r="B5" s="1" t="n"/>
      <c r="C5" s="1" t="n"/>
      <c r="D5" s="1" t="n"/>
      <c r="E5" s="1" t="n"/>
      <c r="F5" s="1" t="inlineStr">
        <is>
          <t>発行日</t>
        </is>
      </c>
      <c r="G5" s="3" t="n">
        <v>46316</v>
      </c>
    </row>
    <row r="6">
      <c r="A6" s="1" t="n"/>
      <c r="B6" s="4" t="inlineStr">
        <is>
          <t>株式会社ジーユー　御中</t>
        </is>
      </c>
      <c r="C6" s="1" t="n"/>
      <c r="D6" s="1" t="n"/>
      <c r="E6" s="1" t="n"/>
      <c r="F6" s="1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1" t="inlineStr">
        <is>
          <t>下記のとおり御見積申し上げます。</t>
        </is>
      </c>
      <c r="C8" s="1" t="n"/>
      <c r="D8" s="1" t="n"/>
      <c r="E8" s="1" t="n"/>
      <c r="F8" s="1" t="n"/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5" t="inlineStr">
        <is>
          <t>御見積金額（税込）</t>
        </is>
      </c>
      <c r="C10" s="6">
        <f>内訳書!C32</f>
        <v/>
      </c>
      <c r="D10" s="1" t="n"/>
      <c r="E10" s="1" t="n"/>
      <c r="F10" s="1" t="n"/>
      <c r="G10" s="1" t="n"/>
    </row>
    <row r="11">
      <c r="A11" s="1" t="n"/>
      <c r="B11" s="1" t="inlineStr">
        <is>
          <t>（税抜金額）</t>
        </is>
      </c>
      <c r="C11" s="7">
        <f>内訳書!C30</f>
        <v/>
      </c>
      <c r="D11" s="1" t="inlineStr">
        <is>
          <t>消費税</t>
        </is>
      </c>
      <c r="E11" s="7">
        <f>内訳書!C31</f>
        <v/>
      </c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1" t="n"/>
      <c r="B13" s="8" t="inlineStr">
        <is>
          <t>工事名称</t>
        </is>
      </c>
      <c r="C13" s="9" t="inlineStr">
        <is>
          <t>GU ららぽーと富士見店 内装工事（C工事）</t>
        </is>
      </c>
      <c r="D13" s="9" t="n"/>
      <c r="E13" s="9" t="n"/>
      <c r="F13" s="9" t="n"/>
      <c r="G13" s="9" t="n"/>
    </row>
    <row r="14">
      <c r="A14" s="1" t="n"/>
      <c r="B14" s="8" t="inlineStr">
        <is>
          <t>工事場所</t>
        </is>
      </c>
      <c r="C14" s="9" t="inlineStr">
        <is>
          <t>埼玉県富士見市山室1-1313 ららぽーと富士見 2F 2413区画</t>
        </is>
      </c>
      <c r="D14" s="9" t="n"/>
      <c r="E14" s="9" t="n"/>
      <c r="F14" s="9" t="n"/>
      <c r="G14" s="9" t="n"/>
    </row>
    <row r="15">
      <c r="A15" s="1" t="n"/>
      <c r="B15" s="8" t="inlineStr">
        <is>
          <t>面積</t>
        </is>
      </c>
      <c r="C15" s="9" t="inlineStr">
        <is>
          <t>1,064.0㎡（約322坪）　CH=3,750</t>
        </is>
      </c>
      <c r="D15" s="9" t="n"/>
      <c r="E15" s="9" t="n"/>
      <c r="F15" s="9" t="n"/>
      <c r="G15" s="9" t="n"/>
    </row>
    <row r="16">
      <c r="A16" s="1" t="n"/>
      <c r="B16" s="8" t="inlineStr">
        <is>
          <t>工期</t>
        </is>
      </c>
      <c r="C16" s="9" t="inlineStr">
        <is>
          <t>2027年01月12日着工〜40夜（日曜休み）　※内装監理室の工程調整による</t>
        </is>
      </c>
      <c r="D16" s="9" t="n"/>
      <c r="E16" s="9" t="n"/>
      <c r="F16" s="9" t="n"/>
      <c r="G16" s="9" t="n"/>
    </row>
    <row r="17">
      <c r="A17" s="1" t="n"/>
      <c r="B17" s="8" t="inlineStr">
        <is>
          <t>支払条件</t>
        </is>
      </c>
      <c r="C17" s="9" t="inlineStr">
        <is>
          <t>別途協議</t>
        </is>
      </c>
      <c r="D17" s="9" t="n"/>
      <c r="E17" s="9" t="n"/>
      <c r="F17" s="9" t="n"/>
      <c r="G17" s="9" t="n"/>
    </row>
    <row r="18">
      <c r="A18" s="1" t="n"/>
      <c r="B18" s="8" t="inlineStr">
        <is>
          <t>見積有効期限</t>
        </is>
      </c>
      <c r="C18" s="9" t="inlineStr">
        <is>
          <t>発行日より30日間</t>
        </is>
      </c>
      <c r="D18" s="9" t="n"/>
      <c r="E18" s="9" t="n"/>
      <c r="F18" s="9" t="n"/>
      <c r="G18" s="9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inlineStr">
        <is>
          <t>（貴社名）</t>
        </is>
      </c>
      <c r="F20" s="1" t="n"/>
      <c r="G20" s="1" t="n"/>
    </row>
    <row r="21">
      <c r="A21" s="1" t="n"/>
      <c r="B21" s="1" t="n"/>
      <c r="C21" s="1" t="n"/>
      <c r="D21" s="1" t="n"/>
      <c r="E21" s="1" t="inlineStr">
        <is>
          <t>（住所・電話）</t>
        </is>
      </c>
      <c r="F21" s="1" t="n"/>
      <c r="G21" s="1" t="n"/>
    </row>
    <row r="22">
      <c r="A22" s="1" t="n"/>
      <c r="B22" s="1" t="n"/>
      <c r="C22" s="1" t="n"/>
      <c r="D22" s="1" t="n"/>
      <c r="E22" s="1" t="inlineStr">
        <is>
          <t>担当：</t>
        </is>
      </c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0" t="inlineStr">
        <is>
          <t>【別途工事・見積除外】</t>
        </is>
      </c>
      <c r="C24" s="1" t="n"/>
      <c r="D24" s="1" t="n"/>
      <c r="E24" s="1" t="n"/>
      <c r="F24" s="1" t="n"/>
      <c r="G24" s="1" t="n"/>
    </row>
    <row r="25" ht="30" customHeight="1">
      <c r="A25" s="1" t="n"/>
      <c r="B25" s="11" t="inlineStr">
        <is>
          <t>・B工事（指定業者）</t>
        </is>
      </c>
      <c r="C25" s="12" t="inlineStr">
        <is>
          <t>空調室内機・GHPリモコン移設、一般換気の増移設、防災設備（感知器・スピーカー・誘導灯・SP）増移設、排煙SW移設、カットリレー本体・信号線、消火器・防火区画貫通処理</t>
        </is>
      </c>
      <c r="D25" s="1" t="n"/>
      <c r="E25" s="1" t="n"/>
      <c r="F25" s="1" t="n"/>
      <c r="G25" s="1" t="n"/>
    </row>
    <row r="26" ht="30" customHeight="1">
      <c r="A26" s="1" t="n"/>
      <c r="B26" s="11" t="inlineStr">
        <is>
          <t>・指定会社工事</t>
        </is>
      </c>
      <c r="C26" s="12" t="inlineStr">
        <is>
          <t>電話（NTT）、売上端末（POS）、有線放送（USEN）、個別機械警備（セコム）</t>
        </is>
      </c>
      <c r="D26" s="1" t="n"/>
      <c r="E26" s="1" t="n"/>
      <c r="F26" s="1" t="n"/>
      <c r="G26" s="1" t="n"/>
    </row>
    <row r="27" ht="30" customHeight="1">
      <c r="A27" s="1" t="n"/>
      <c r="B27" s="11" t="inlineStr">
        <is>
          <t>・支給品</t>
        </is>
      </c>
      <c r="C27" s="12" t="inlineStr">
        <is>
          <t>壁面・中央什器、レジバックカウンター什器、サービスCT、有孔ボードサッカー台、内照式ロゴサイン、LEDサイン、スタンド照明ST1、金庫</t>
        </is>
      </c>
      <c r="D27" s="1" t="n"/>
      <c r="E27" s="1" t="n"/>
      <c r="F27" s="1" t="n"/>
      <c r="G27" s="1" t="n"/>
    </row>
    <row r="28" ht="30" customHeight="1">
      <c r="A28" s="1" t="n"/>
      <c r="B28" s="11" t="inlineStr">
        <is>
          <t>・什器据付</t>
        </is>
      </c>
      <c r="C28" s="12" t="inlineStr">
        <is>
          <t>支給品什器の組立・据付（ご要望により別途お見積り）</t>
        </is>
      </c>
      <c r="D28" s="1" t="n"/>
      <c r="E28" s="1" t="n"/>
      <c r="F28" s="1" t="n"/>
      <c r="G28" s="1" t="n"/>
    </row>
    <row r="29" ht="30" customHeight="1">
      <c r="A29" s="1" t="n"/>
      <c r="B29" s="11" t="inlineStr">
        <is>
          <t>・施設負担金</t>
        </is>
      </c>
      <c r="C29" s="12" t="inlineStr">
        <is>
          <t>総合仮設負担金、開店前準備負担金、開店時販促負担金、内装監理費 など</t>
        </is>
      </c>
      <c r="D29" s="1" t="n"/>
      <c r="E29" s="1" t="n"/>
      <c r="F29" s="1" t="n"/>
      <c r="G29" s="1" t="n"/>
    </row>
    <row r="30" ht="30" customHeight="1">
      <c r="A30" s="1" t="n"/>
      <c r="B30" s="11" t="inlineStr">
        <is>
          <t>・その他</t>
        </is>
      </c>
      <c r="C30" s="12" t="inlineStr">
        <is>
          <t>設計・監理費、諸官庁申請手数料、共用部の工事、夜間特別警備費、図面にない追加・変更工事、アスベスト調査・除去</t>
        </is>
      </c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0" t="inlineStr">
        <is>
          <t>【見積条件】</t>
        </is>
      </c>
      <c r="C32" s="1" t="n"/>
      <c r="D32" s="1" t="n"/>
      <c r="E32" s="1" t="n"/>
      <c r="F32" s="1" t="n"/>
      <c r="G32" s="1" t="n"/>
    </row>
    <row r="33" ht="30" customHeight="1">
      <c r="A33" s="1" t="n"/>
      <c r="B33" s="12" t="inlineStr">
        <is>
          <t>・数量は図面PDFのテキスト（仕上表・照明器具表・盤図・フロアマップ・建具表）から拾い出した。外周壁・間仕切の長さ、FRブース数、柱本数は図面寸法から概算しており、CAD実測で拾い直すと±10%程度変わる可能性がある。</t>
        </is>
      </c>
      <c r="C33" s="1" t="n"/>
      <c r="D33" s="1" t="n"/>
      <c r="E33" s="1" t="n"/>
      <c r="F33" s="1" t="n"/>
      <c r="G33" s="1" t="n"/>
    </row>
    <row r="34" ht="30" customHeight="1">
      <c r="A34" s="1" t="n"/>
      <c r="B34" s="12" t="inlineStr">
        <is>
          <t>・単価は2026年10月時点の首都圏商業施設テナント内装の市場単価（材工共・昼間施工）を基準にした概算。照明器具・分電盤はメーカー見積で差し替えること。</t>
        </is>
      </c>
      <c r="C34" s="1" t="n"/>
      <c r="D34" s="1" t="n"/>
      <c r="E34" s="1" t="n"/>
      <c r="F34" s="1" t="n"/>
      <c r="G34" s="1" t="n"/>
    </row>
    <row r="35" ht="30" customHeight="1">
      <c r="A35" s="1" t="n"/>
      <c r="B35" s="12" t="inlineStr">
        <is>
          <t>・施工指針書により作業は22:00〜07:00の夜間のみ（残業不可・溶接不可・搬入4t車まで）。労務の夜間割増を直接工事費の8%として計上した。</t>
        </is>
      </c>
      <c r="C35" s="1" t="n"/>
      <c r="D35" s="1" t="n"/>
      <c r="E35" s="1" t="n"/>
      <c r="F35" s="1" t="n"/>
      <c r="G35" s="1" t="n"/>
    </row>
    <row r="36" ht="30" customHeight="1">
      <c r="A36" s="1" t="n"/>
      <c r="B36" s="12" t="inlineStr">
        <is>
          <t>・工事区分は区分表（添付書類②）に従い、C工事のみを計上。A・B工事、指定会社工事、支給品は「別途工事」に記載し金額には含めない。</t>
        </is>
      </c>
      <c r="C36" s="1" t="n"/>
      <c r="D36" s="1" t="n"/>
      <c r="E36" s="1" t="n"/>
      <c r="F36" s="1" t="n"/>
      <c r="G36" s="1" t="n"/>
    </row>
    <row r="37" ht="30" customHeight="1">
      <c r="A37" s="1" t="n"/>
      <c r="B37" s="12" t="inlineStr">
        <is>
          <t>・床は既存躯体+水性ウレタン塗装の上に塩ビタイル直張り、天井（売場）はA工事PB面へAEP塗装、BOHはLGS+化粧石膏ボードの新設とした。</t>
        </is>
      </c>
      <c r="C37" s="1" t="n"/>
      <c r="D37" s="1" t="n"/>
      <c r="E37" s="1" t="n"/>
      <c r="F37" s="1" t="n"/>
      <c r="G37" s="1" t="n"/>
    </row>
    <row r="38" ht="30" customHeight="1">
      <c r="A38" s="1" t="n"/>
      <c r="B38" s="12" t="inlineStr">
        <is>
          <t>・工程は着工を2027年01月12日（夜）と仮定し、日曜夜を休みとする40夜で組んだ。実際の着工日は内装監理室の工程調整で確定する。</t>
        </is>
      </c>
      <c r="C38" s="1" t="n"/>
      <c r="D38" s="1" t="n"/>
      <c r="E38" s="1" t="n"/>
      <c r="F38" s="1" t="n"/>
      <c r="G38" s="1" t="n"/>
    </row>
  </sheetData>
  <mergeCells count="21">
    <mergeCell ref="B2:G2"/>
    <mergeCell ref="C30:G30"/>
    <mergeCell ref="C15:G15"/>
    <mergeCell ref="C14:G14"/>
    <mergeCell ref="C26:G26"/>
    <mergeCell ref="B38:G38"/>
    <mergeCell ref="C29:G29"/>
    <mergeCell ref="B34:G34"/>
    <mergeCell ref="B37:G37"/>
    <mergeCell ref="C16:G16"/>
    <mergeCell ref="C25:G25"/>
    <mergeCell ref="B6:D6"/>
    <mergeCell ref="B33:G33"/>
    <mergeCell ref="B36:G36"/>
    <mergeCell ref="C27:G27"/>
    <mergeCell ref="B35:G35"/>
    <mergeCell ref="C17:G17"/>
    <mergeCell ref="C28:G28"/>
    <mergeCell ref="C13:G13"/>
    <mergeCell ref="C18:G18"/>
    <mergeCell ref="C10:E10"/>
  </mergeCells>
  <pageMargins left="0.75" right="0.75" top="1" bottom="1" header="0.5" footer="0.5"/>
  <pageSetup paperSize="9" fitToHeight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6" customWidth="1" min="3" max="3"/>
    <col width="9" customWidth="1" min="4" max="4"/>
    <col width="46" customWidth="1" min="5" max="5"/>
  </cols>
  <sheetData>
    <row r="1">
      <c r="A1" s="13" t="inlineStr">
        <is>
          <t>工事費内訳書</t>
        </is>
      </c>
    </row>
    <row r="2">
      <c r="A2" t="inlineStr">
        <is>
          <t>工事名称：GU ららぽーと富士見店（2413区画）内装C工事</t>
        </is>
      </c>
    </row>
    <row r="4">
      <c r="A4" s="14" t="inlineStr">
        <is>
          <t>No</t>
        </is>
      </c>
      <c r="B4" s="14" t="inlineStr">
        <is>
          <t>工種</t>
        </is>
      </c>
      <c r="C4" s="14" t="inlineStr">
        <is>
          <t>金額</t>
        </is>
      </c>
      <c r="D4" s="14" t="inlineStr">
        <is>
          <t>構成比</t>
        </is>
      </c>
      <c r="E4" s="14" t="inlineStr">
        <is>
          <t>備考</t>
        </is>
      </c>
    </row>
    <row r="5">
      <c r="A5" s="15" t="inlineStr">
        <is>
          <t>Ⅰ 直接工事費</t>
        </is>
      </c>
      <c r="B5" s="16" t="n"/>
      <c r="C5" s="16" t="n"/>
      <c r="D5" s="16" t="n"/>
      <c r="E5" s="16" t="n"/>
    </row>
    <row r="6">
      <c r="A6" s="16" t="inlineStr">
        <is>
          <t>01</t>
        </is>
      </c>
      <c r="B6" s="16" t="inlineStr">
        <is>
          <t>仮設工事</t>
        </is>
      </c>
      <c r="C6" s="17">
        <f>明細書!G15</f>
        <v/>
      </c>
      <c r="D6" s="18">
        <f>C6/C19</f>
        <v/>
      </c>
      <c r="E6" s="16" t="n"/>
    </row>
    <row r="7">
      <c r="A7" s="16" t="inlineStr">
        <is>
          <t>02</t>
        </is>
      </c>
      <c r="B7" s="16" t="inlineStr">
        <is>
          <t>解体・撤去工事</t>
        </is>
      </c>
      <c r="C7" s="17">
        <f>明細書!G20</f>
        <v/>
      </c>
      <c r="D7" s="18">
        <f>C7/C19</f>
        <v/>
      </c>
      <c r="E7" s="16" t="n"/>
    </row>
    <row r="8">
      <c r="A8" s="16" t="inlineStr">
        <is>
          <t>03</t>
        </is>
      </c>
      <c r="B8" s="16" t="inlineStr">
        <is>
          <t>軽量鉄骨下地工事</t>
        </is>
      </c>
      <c r="C8" s="17">
        <f>明細書!G31</f>
        <v/>
      </c>
      <c r="D8" s="18">
        <f>C8/C19</f>
        <v/>
      </c>
      <c r="E8" s="16" t="n"/>
    </row>
    <row r="9">
      <c r="A9" s="16" t="inlineStr">
        <is>
          <t>04</t>
        </is>
      </c>
      <c r="B9" s="16" t="inlineStr">
        <is>
          <t>ボード工事</t>
        </is>
      </c>
      <c r="C9" s="17">
        <f>明細書!G39</f>
        <v/>
      </c>
      <c r="D9" s="18">
        <f>C9/C19</f>
        <v/>
      </c>
      <c r="E9" s="16" t="n"/>
    </row>
    <row r="10">
      <c r="A10" s="16" t="inlineStr">
        <is>
          <t>05</t>
        </is>
      </c>
      <c r="B10" s="16" t="inlineStr">
        <is>
          <t>床工事</t>
        </is>
      </c>
      <c r="C10" s="17">
        <f>明細書!G52</f>
        <v/>
      </c>
      <c r="D10" s="18">
        <f>C10/C19</f>
        <v/>
      </c>
      <c r="E10" s="16" t="n"/>
    </row>
    <row r="11">
      <c r="A11" s="16" t="inlineStr">
        <is>
          <t>06</t>
        </is>
      </c>
      <c r="B11" s="16" t="inlineStr">
        <is>
          <t>塗装工事</t>
        </is>
      </c>
      <c r="C11" s="17">
        <f>明細書!G59</f>
        <v/>
      </c>
      <c r="D11" s="18">
        <f>C11/C19</f>
        <v/>
      </c>
      <c r="E11" s="16" t="n"/>
    </row>
    <row r="12">
      <c r="A12" s="16" t="inlineStr">
        <is>
          <t>07</t>
        </is>
      </c>
      <c r="B12" s="16" t="inlineStr">
        <is>
          <t>クロス工事</t>
        </is>
      </c>
      <c r="C12" s="17">
        <f>明細書!G63</f>
        <v/>
      </c>
      <c r="D12" s="18">
        <f>C12/C19</f>
        <v/>
      </c>
      <c r="E12" s="16" t="n"/>
    </row>
    <row r="13">
      <c r="A13" s="16" t="inlineStr">
        <is>
          <t>08</t>
        </is>
      </c>
      <c r="B13" s="16" t="inlineStr">
        <is>
          <t>木製建具・鋼製建具工事</t>
        </is>
      </c>
      <c r="C13" s="17">
        <f>明細書!G75</f>
        <v/>
      </c>
      <c r="D13" s="18">
        <f>C13/C19</f>
        <v/>
      </c>
      <c r="E13" s="16" t="n"/>
    </row>
    <row r="14">
      <c r="A14" s="16" t="inlineStr">
        <is>
          <t>09</t>
        </is>
      </c>
      <c r="B14" s="16" t="inlineStr">
        <is>
          <t>金属工事</t>
        </is>
      </c>
      <c r="C14" s="17">
        <f>明細書!G84</f>
        <v/>
      </c>
      <c r="D14" s="18">
        <f>C14/C19</f>
        <v/>
      </c>
      <c r="E14" s="16" t="n"/>
    </row>
    <row r="15">
      <c r="A15" s="16" t="inlineStr">
        <is>
          <t>10</t>
        </is>
      </c>
      <c r="B15" s="16" t="inlineStr">
        <is>
          <t>造作家具工事</t>
        </is>
      </c>
      <c r="C15" s="17">
        <f>明細書!G101</f>
        <v/>
      </c>
      <c r="D15" s="18">
        <f>C15/C19</f>
        <v/>
      </c>
      <c r="E15" s="16" t="n"/>
    </row>
    <row r="16">
      <c r="A16" s="16" t="inlineStr">
        <is>
          <t>11</t>
        </is>
      </c>
      <c r="B16" s="16" t="inlineStr">
        <is>
          <t>ガラス・ミラー工事</t>
        </is>
      </c>
      <c r="C16" s="17">
        <f>明細書!G107</f>
        <v/>
      </c>
      <c r="D16" s="18">
        <f>C16/C19</f>
        <v/>
      </c>
      <c r="E16" s="16" t="n"/>
    </row>
    <row r="17">
      <c r="A17" s="16" t="inlineStr">
        <is>
          <t>12</t>
        </is>
      </c>
      <c r="B17" s="16" t="inlineStr">
        <is>
          <t>サイン工事</t>
        </is>
      </c>
      <c r="C17" s="17">
        <f>明細書!G119</f>
        <v/>
      </c>
      <c r="D17" s="18">
        <f>C17/C19</f>
        <v/>
      </c>
      <c r="E17" s="16" t="n"/>
    </row>
    <row r="18">
      <c r="A18" s="16" t="inlineStr">
        <is>
          <t>13</t>
        </is>
      </c>
      <c r="B18" s="16" t="inlineStr">
        <is>
          <t>電気設備工事</t>
        </is>
      </c>
      <c r="C18" s="17">
        <f>明細書!G150</f>
        <v/>
      </c>
      <c r="D18" s="18">
        <f>C18/C19</f>
        <v/>
      </c>
      <c r="E18" s="16" t="n"/>
    </row>
    <row r="19">
      <c r="A19" s="16" t="n"/>
      <c r="B19" s="15" t="inlineStr">
        <is>
          <t>直接工事費 計</t>
        </is>
      </c>
      <c r="C19" s="19">
        <f>SUM(C6:C18)</f>
        <v/>
      </c>
      <c r="D19" s="16" t="n"/>
      <c r="E19" s="16" t="n"/>
    </row>
    <row r="20">
      <c r="A20" s="16" t="n"/>
      <c r="B20" s="16" t="n"/>
      <c r="C20" s="16" t="n"/>
      <c r="D20" s="16" t="n"/>
      <c r="E20" s="16" t="n"/>
    </row>
    <row r="21">
      <c r="A21" s="15" t="inlineStr">
        <is>
          <t>Ⅱ 共通費</t>
        </is>
      </c>
      <c r="B21" s="16" t="n"/>
      <c r="C21" s="16" t="n"/>
      <c r="D21" s="16" t="n"/>
      <c r="E21" s="16" t="n"/>
    </row>
    <row r="22">
      <c r="A22" s="16" t="n"/>
      <c r="B22" s="16" t="inlineStr">
        <is>
          <t>夜間作業割増</t>
        </is>
      </c>
      <c r="C22" s="17">
        <f>ROUND(C19*0.08,-3)</f>
        <v/>
      </c>
      <c r="D22" s="16" t="n"/>
      <c r="E22" s="16" t="inlineStr">
        <is>
          <t>直接工事費×8%（22:00〜07:00作業・労務費の約25%相当）</t>
        </is>
      </c>
    </row>
    <row r="23">
      <c r="A23" s="16" t="n"/>
      <c r="B23" s="16" t="inlineStr">
        <is>
          <t>共通仮設費</t>
        </is>
      </c>
      <c r="C23" s="17">
        <f>ROUND(C19*0.03,-3)</f>
        <v/>
      </c>
      <c r="D23" s="16" t="n"/>
      <c r="E23" s="16" t="inlineStr">
        <is>
          <t>直接工事費×3%</t>
        </is>
      </c>
    </row>
    <row r="24">
      <c r="A24" s="16" t="n"/>
      <c r="B24" s="16" t="inlineStr">
        <is>
          <t>現場管理費</t>
        </is>
      </c>
      <c r="C24" s="17">
        <f>ROUND(C19*0.08,-3)</f>
        <v/>
      </c>
      <c r="D24" s="16" t="n"/>
      <c r="E24" s="16" t="inlineStr">
        <is>
          <t>直接工事費×8%（現場責任者 正副2名常駐・申請書類・竣工図）</t>
        </is>
      </c>
    </row>
    <row r="25">
      <c r="A25" s="16" t="n"/>
      <c r="B25" s="16" t="inlineStr">
        <is>
          <t>一般管理費</t>
        </is>
      </c>
      <c r="C25" s="17">
        <f>ROUND((C19+SUM(C22:C24))*0.07,-3)</f>
        <v/>
      </c>
      <c r="D25" s="16" t="n"/>
      <c r="E25" s="16" t="inlineStr">
        <is>
          <t>（直接工事費＋上記共通費）×7%</t>
        </is>
      </c>
    </row>
    <row r="26">
      <c r="A26" s="16" t="n"/>
      <c r="B26" s="15" t="inlineStr">
        <is>
          <t>共通費 計</t>
        </is>
      </c>
      <c r="C26" s="19">
        <f>SUM(C22:C25)</f>
        <v/>
      </c>
      <c r="D26" s="16" t="n"/>
      <c r="E26" s="16" t="n"/>
    </row>
    <row r="27">
      <c r="A27" s="16" t="n"/>
      <c r="B27" s="16" t="n"/>
      <c r="C27" s="16" t="n"/>
      <c r="D27" s="16" t="n"/>
      <c r="E27" s="16" t="n"/>
    </row>
    <row r="28">
      <c r="A28" s="16" t="n"/>
      <c r="B28" s="16" t="inlineStr">
        <is>
          <t>工事費 計（Ⅰ＋Ⅱ）</t>
        </is>
      </c>
      <c r="C28" s="17">
        <f>C19+C26</f>
        <v/>
      </c>
      <c r="D28" s="16" t="n"/>
      <c r="E28" s="16" t="n"/>
    </row>
    <row r="29">
      <c r="A29" s="16" t="n"/>
      <c r="B29" s="16" t="inlineStr">
        <is>
          <t>端数調整</t>
        </is>
      </c>
      <c r="C29" s="17">
        <f>-MOD(C28,10000)</f>
        <v/>
      </c>
      <c r="D29" s="16" t="n"/>
      <c r="E29" s="16" t="n"/>
    </row>
    <row r="30">
      <c r="A30" s="16" t="n"/>
      <c r="B30" s="20" t="inlineStr">
        <is>
          <t>税抜合計</t>
        </is>
      </c>
      <c r="C30" s="21">
        <f>C28+C29</f>
        <v/>
      </c>
      <c r="D30" s="16" t="n"/>
      <c r="E30" s="16" t="n"/>
    </row>
    <row r="31">
      <c r="A31" s="16" t="n"/>
      <c r="B31" s="16" t="inlineStr">
        <is>
          <t>消費税（10%）</t>
        </is>
      </c>
      <c r="C31" s="17">
        <f>ROUNDDOWN(C30*0.1,0)</f>
        <v/>
      </c>
      <c r="D31" s="16" t="n"/>
      <c r="E31" s="16" t="n"/>
    </row>
    <row r="32">
      <c r="A32" s="16" t="n"/>
      <c r="B32" s="20" t="inlineStr">
        <is>
          <t>税込合計</t>
        </is>
      </c>
      <c r="C32" s="21">
        <f>C30+C31</f>
        <v/>
      </c>
      <c r="D32" s="16" t="n"/>
      <c r="E32" s="16" t="n"/>
    </row>
    <row r="34">
      <c r="B34" s="1" t="inlineStr">
        <is>
          <t>㎡単価（税抜）</t>
        </is>
      </c>
      <c r="C34" s="22">
        <f>ROUND(C30/1064.0,0)</f>
        <v/>
      </c>
      <c r="E34" s="1" t="inlineStr">
        <is>
          <t>区画面積 1064.0㎡ で割った値</t>
        </is>
      </c>
    </row>
    <row r="35">
      <c r="B35" s="1" t="inlineStr">
        <is>
          <t>坪単価（税抜）</t>
        </is>
      </c>
      <c r="C35" s="22">
        <f>ROUND(C30/(1064.0/3.30579),0)</f>
        <v/>
      </c>
      <c r="E35" s="1" t="n"/>
    </row>
  </sheetData>
  <pageMargins left="0.75" right="0.75" top="1" bottom="1" header="0.5" footer="0.5"/>
  <pageSetup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4" customWidth="1" min="3" max="3"/>
    <col width="9" customWidth="1" min="4" max="4"/>
    <col width="6" customWidth="1" min="5" max="5"/>
    <col width="11" customWidth="1" min="6" max="6"/>
    <col width="13" customWidth="1" min="7" max="7"/>
    <col width="40" customWidth="1" min="8" max="8"/>
    <col hidden="1" width="0.1" customWidth="1" min="9" max="9"/>
  </cols>
  <sheetData>
    <row r="1">
      <c r="A1" s="13" t="inlineStr">
        <is>
          <t>工事費内訳明細書</t>
        </is>
      </c>
    </row>
    <row r="2">
      <c r="A2" s="1" t="inlineStr">
        <is>
          <t>工事名称：GU ららぽーと富士見店（2413区画）内装C工事</t>
        </is>
      </c>
    </row>
    <row r="4">
      <c r="A4" s="23" t="inlineStr">
        <is>
          <t>No</t>
        </is>
      </c>
      <c r="B4" s="23" t="inlineStr">
        <is>
          <t>名称</t>
        </is>
      </c>
      <c r="C4" s="23" t="inlineStr">
        <is>
          <t>仕様・摘要</t>
        </is>
      </c>
      <c r="D4" s="23" t="inlineStr">
        <is>
          <t>数量</t>
        </is>
      </c>
      <c r="E4" s="23" t="inlineStr">
        <is>
          <t>単位</t>
        </is>
      </c>
      <c r="F4" s="23" t="inlineStr">
        <is>
          <t>単価</t>
        </is>
      </c>
      <c r="G4" s="23" t="inlineStr">
        <is>
          <t>金額</t>
        </is>
      </c>
      <c r="H4" s="23" t="inlineStr">
        <is>
          <t>数量根拠・備考</t>
        </is>
      </c>
      <c r="I4" s="23" t="inlineStr">
        <is>
          <t>工種</t>
        </is>
      </c>
    </row>
    <row r="5">
      <c r="A5" s="24" t="inlineStr">
        <is>
          <t>01 仮設工事</t>
        </is>
      </c>
      <c r="B5" s="25" t="n"/>
      <c r="C5" s="25" t="n"/>
      <c r="D5" s="25" t="n"/>
      <c r="E5" s="25" t="n"/>
      <c r="F5" s="25" t="n"/>
      <c r="G5" s="25" t="n"/>
      <c r="H5" s="25" t="n"/>
    </row>
    <row r="6">
      <c r="A6" s="26" t="n">
        <v>1</v>
      </c>
      <c r="B6" s="27" t="inlineStr">
        <is>
          <t>墨出し</t>
        </is>
      </c>
      <c r="C6" s="27" t="inlineStr">
        <is>
          <t>床・壁・天井・器具位置</t>
        </is>
      </c>
      <c r="D6" s="28" t="n">
        <v>1064</v>
      </c>
      <c r="E6" s="26" t="inlineStr">
        <is>
          <t>㎡</t>
        </is>
      </c>
      <c r="F6" s="28" t="n">
        <v>300</v>
      </c>
      <c r="G6" s="28">
        <f>ROUND(D6*F6,0)</f>
        <v/>
      </c>
      <c r="H6" s="27" t="inlineStr">
        <is>
          <t>区画面積</t>
        </is>
      </c>
      <c r="I6" s="29" t="inlineStr">
        <is>
          <t>01 仮設工事</t>
        </is>
      </c>
    </row>
    <row r="7">
      <c r="A7" s="26" t="n">
        <v>2</v>
      </c>
      <c r="B7" s="27" t="inlineStr">
        <is>
          <t>養生</t>
        </is>
      </c>
      <c r="C7" s="27" t="inlineStr">
        <is>
          <t>区画内・既存仕上・A/B工事設備・後方通路二次養生</t>
        </is>
      </c>
      <c r="D7" s="28" t="n">
        <v>1</v>
      </c>
      <c r="E7" s="26" t="inlineStr">
        <is>
          <t>式</t>
        </is>
      </c>
      <c r="F7" s="28" t="n">
        <v>380000</v>
      </c>
      <c r="G7" s="28">
        <f>ROUND(D7*F7,0)</f>
        <v/>
      </c>
      <c r="H7" s="27" t="inlineStr">
        <is>
          <t>施工指針書 10-6</t>
        </is>
      </c>
      <c r="I7" s="29" t="inlineStr">
        <is>
          <t>01 仮設工事</t>
        </is>
      </c>
    </row>
    <row r="8">
      <c r="A8" s="26" t="n">
        <v>3</v>
      </c>
      <c r="B8" s="27" t="inlineStr">
        <is>
          <t>仮設電気・工事用照明</t>
        </is>
      </c>
      <c r="C8" s="27" t="inlineStr">
        <is>
          <t>漏電遮断器付仮設盤・投光器（照明の準備なし）</t>
        </is>
      </c>
      <c r="D8" s="28" t="n">
        <v>1</v>
      </c>
      <c r="E8" s="26" t="inlineStr">
        <is>
          <t>式</t>
        </is>
      </c>
      <c r="F8" s="28" t="n">
        <v>180000</v>
      </c>
      <c r="G8" s="28">
        <f>ROUND(D8*F8,0)</f>
        <v/>
      </c>
      <c r="H8" s="27" t="inlineStr">
        <is>
          <t>施工指針書 10-8</t>
        </is>
      </c>
      <c r="I8" s="29" t="inlineStr">
        <is>
          <t>01 仮設工事</t>
        </is>
      </c>
    </row>
    <row r="9">
      <c r="A9" s="26" t="n">
        <v>4</v>
      </c>
      <c r="B9" s="27" t="inlineStr">
        <is>
          <t>内部足場</t>
        </is>
      </c>
      <c r="C9" s="27" t="inlineStr">
        <is>
          <t>ローリングタワー・可搬式作業台 CH3750</t>
        </is>
      </c>
      <c r="D9" s="28" t="n">
        <v>1</v>
      </c>
      <c r="E9" s="26" t="inlineStr">
        <is>
          <t>式</t>
        </is>
      </c>
      <c r="F9" s="28" t="n">
        <v>280000</v>
      </c>
      <c r="G9" s="28">
        <f>ROUND(D9*F9,0)</f>
        <v/>
      </c>
      <c r="H9" s="27" t="inlineStr"/>
      <c r="I9" s="29" t="inlineStr">
        <is>
          <t>01 仮設工事</t>
        </is>
      </c>
    </row>
    <row r="10">
      <c r="A10" s="26" t="n">
        <v>5</v>
      </c>
      <c r="B10" s="27" t="inlineStr">
        <is>
          <t>施工許可看板・掲示板・消火器</t>
        </is>
      </c>
      <c r="C10" s="27" t="inlineStr">
        <is>
          <t>自立型 t6ベニヤ、ABC10型</t>
        </is>
      </c>
      <c r="D10" s="28" t="n">
        <v>1</v>
      </c>
      <c r="E10" s="26" t="inlineStr">
        <is>
          <t>式</t>
        </is>
      </c>
      <c r="F10" s="28" t="n">
        <v>60000</v>
      </c>
      <c r="G10" s="28">
        <f>ROUND(D10*F10,0)</f>
        <v/>
      </c>
      <c r="H10" s="27" t="inlineStr">
        <is>
          <t>施工指針書 6-9</t>
        </is>
      </c>
      <c r="I10" s="29" t="inlineStr">
        <is>
          <t>01 仮設工事</t>
        </is>
      </c>
    </row>
    <row r="11">
      <c r="A11" s="26" t="n">
        <v>6</v>
      </c>
      <c r="B11" s="27" t="inlineStr">
        <is>
          <t>日々清掃・片付け</t>
        </is>
      </c>
      <c r="C11" s="27" t="inlineStr">
        <is>
          <t>毎夜</t>
        </is>
      </c>
      <c r="D11" s="28" t="n">
        <v>40</v>
      </c>
      <c r="E11" s="26" t="inlineStr">
        <is>
          <t>夜</t>
        </is>
      </c>
      <c r="F11" s="28" t="n">
        <v>15000</v>
      </c>
      <c r="G11" s="28">
        <f>ROUND(D11*F11,0)</f>
        <v/>
      </c>
      <c r="H11" s="27" t="inlineStr">
        <is>
          <t>工程40夜</t>
        </is>
      </c>
      <c r="I11" s="29" t="inlineStr">
        <is>
          <t>01 仮設工事</t>
        </is>
      </c>
    </row>
    <row r="12">
      <c r="A12" s="26" t="n">
        <v>7</v>
      </c>
      <c r="B12" s="27" t="inlineStr">
        <is>
          <t>竣工クリーニング</t>
        </is>
      </c>
      <c r="C12" s="27" t="inlineStr">
        <is>
          <t>床・建具・器具・ガラス</t>
        </is>
      </c>
      <c r="D12" s="28" t="n">
        <v>1064</v>
      </c>
      <c r="E12" s="26" t="inlineStr">
        <is>
          <t>㎡</t>
        </is>
      </c>
      <c r="F12" s="28" t="n">
        <v>550</v>
      </c>
      <c r="G12" s="28">
        <f>ROUND(D12*F12,0)</f>
        <v/>
      </c>
      <c r="H12" s="27" t="inlineStr"/>
      <c r="I12" s="29" t="inlineStr">
        <is>
          <t>01 仮設工事</t>
        </is>
      </c>
    </row>
    <row r="13">
      <c r="A13" s="26" t="n">
        <v>8</v>
      </c>
      <c r="B13" s="27" t="inlineStr">
        <is>
          <t>資材搬入運搬費</t>
        </is>
      </c>
      <c r="C13" s="27" t="inlineStr">
        <is>
          <t>4t車以下・北荷捌所 22:00以降</t>
        </is>
      </c>
      <c r="D13" s="28" t="n">
        <v>14</v>
      </c>
      <c r="E13" s="26" t="inlineStr">
        <is>
          <t>台</t>
        </is>
      </c>
      <c r="F13" s="28" t="n">
        <v>45000</v>
      </c>
      <c r="G13" s="28">
        <f>ROUND(D13*F13,0)</f>
        <v/>
      </c>
      <c r="H13" s="27" t="inlineStr">
        <is>
          <t>施工指針書 搬出入ルール</t>
        </is>
      </c>
      <c r="I13" s="29" t="inlineStr">
        <is>
          <t>01 仮設工事</t>
        </is>
      </c>
    </row>
    <row r="14">
      <c r="A14" s="26" t="n">
        <v>9</v>
      </c>
      <c r="B14" s="27" t="inlineStr">
        <is>
          <t>産業廃棄物処分</t>
        </is>
      </c>
      <c r="C14" s="27" t="inlineStr">
        <is>
          <t>分別・搬出・マニフェスト</t>
        </is>
      </c>
      <c r="D14" s="28" t="n">
        <v>8</v>
      </c>
      <c r="E14" s="26" t="inlineStr">
        <is>
          <t>台</t>
        </is>
      </c>
      <c r="F14" s="28" t="n">
        <v>85000</v>
      </c>
      <c r="G14" s="28">
        <f>ROUND(D14*F14,0)</f>
        <v/>
      </c>
      <c r="H14" s="27" t="inlineStr">
        <is>
          <t>4t車換算</t>
        </is>
      </c>
      <c r="I14" s="29" t="inlineStr">
        <is>
          <t>01 仮設工事</t>
        </is>
      </c>
    </row>
    <row r="15">
      <c r="A15" s="30" t="n"/>
      <c r="B15" s="31" t="inlineStr">
        <is>
          <t>仮設工事 小計</t>
        </is>
      </c>
      <c r="C15" s="30" t="n"/>
      <c r="D15" s="30" t="n"/>
      <c r="E15" s="30" t="n"/>
      <c r="F15" s="30" t="n"/>
      <c r="G15" s="32">
        <f>SUM(G6:G14)</f>
        <v/>
      </c>
      <c r="H15" s="30" t="n"/>
    </row>
    <row r="17">
      <c r="A17" s="24" t="inlineStr">
        <is>
          <t>02 解体・撤去工事</t>
        </is>
      </c>
      <c r="B17" s="25" t="n"/>
      <c r="C17" s="25" t="n"/>
      <c r="D17" s="25" t="n"/>
      <c r="E17" s="25" t="n"/>
      <c r="F17" s="25" t="n"/>
      <c r="G17" s="25" t="n"/>
      <c r="H17" s="25" t="n"/>
    </row>
    <row r="18">
      <c r="A18" s="26" t="n">
        <v>1</v>
      </c>
      <c r="B18" s="27" t="inlineStr">
        <is>
          <t>店頭サッシ撤去</t>
        </is>
      </c>
      <c r="C18" s="27" t="inlineStr">
        <is>
          <t>既存サッシ撤去・処分</t>
        </is>
      </c>
      <c r="D18" s="28" t="n">
        <v>1</v>
      </c>
      <c r="E18" s="26" t="inlineStr">
        <is>
          <t>式</t>
        </is>
      </c>
      <c r="F18" s="28" t="n">
        <v>180000</v>
      </c>
      <c r="G18" s="28">
        <f>ROUND(D18*F18,0)</f>
        <v/>
      </c>
      <c r="H18" s="27" t="inlineStr">
        <is>
          <t>平面図 注記②（工事区分 要確認）</t>
        </is>
      </c>
      <c r="I18" s="29" t="inlineStr">
        <is>
          <t>02 解体・撤去工事</t>
        </is>
      </c>
    </row>
    <row r="19">
      <c r="A19" s="26" t="n">
        <v>2</v>
      </c>
      <c r="B19" s="27" t="inlineStr">
        <is>
          <t>既存設備・残置物撤去</t>
        </is>
      </c>
      <c r="C19" s="27" t="inlineStr">
        <is>
          <t>既存店舗転用部の不要物撤去</t>
        </is>
      </c>
      <c r="D19" s="28" t="n">
        <v>1</v>
      </c>
      <c r="E19" s="26" t="inlineStr">
        <is>
          <t>式</t>
        </is>
      </c>
      <c r="F19" s="28" t="n">
        <v>120000</v>
      </c>
      <c r="G19" s="28">
        <f>ROUND(D19*F19,0)</f>
        <v/>
      </c>
      <c r="H19" s="27" t="inlineStr"/>
      <c r="I19" s="29" t="inlineStr">
        <is>
          <t>02 解体・撤去工事</t>
        </is>
      </c>
    </row>
    <row r="20">
      <c r="A20" s="30" t="n"/>
      <c r="B20" s="31" t="inlineStr">
        <is>
          <t>解体・撤去工事 小計</t>
        </is>
      </c>
      <c r="C20" s="30" t="n"/>
      <c r="D20" s="30" t="n"/>
      <c r="E20" s="30" t="n"/>
      <c r="F20" s="30" t="n"/>
      <c r="G20" s="32">
        <f>SUM(G18:G19)</f>
        <v/>
      </c>
      <c r="H20" s="30" t="n"/>
    </row>
    <row r="22">
      <c r="A22" s="24" t="inlineStr">
        <is>
          <t>03 軽量鉄骨下地工事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>
      <c r="A23" s="26" t="n">
        <v>1</v>
      </c>
      <c r="B23" s="27" t="inlineStr">
        <is>
          <t>壁下地 LGS65</t>
        </is>
      </c>
      <c r="C23" s="27" t="inlineStr">
        <is>
          <t>C工事壁（店舗間仕切前出し）@303 H3750</t>
        </is>
      </c>
      <c r="D23" s="33" t="n">
        <v>412.5</v>
      </c>
      <c r="E23" s="26" t="inlineStr">
        <is>
          <t>㎡</t>
        </is>
      </c>
      <c r="F23" s="28" t="n">
        <v>4200</v>
      </c>
      <c r="G23" s="28">
        <f>ROUND(D23*F23,0)</f>
        <v/>
      </c>
      <c r="H23" s="27" t="inlineStr">
        <is>
          <t>110.0m×3.75m</t>
        </is>
      </c>
      <c r="I23" s="29" t="inlineStr">
        <is>
          <t>03 軽量鉄骨下地工事</t>
        </is>
      </c>
    </row>
    <row r="24">
      <c r="A24" s="26" t="n">
        <v>2</v>
      </c>
      <c r="B24" s="27" t="inlineStr">
        <is>
          <t>間仕切下地 LGS65</t>
        </is>
      </c>
      <c r="C24" s="27" t="inlineStr">
        <is>
          <t>BOH間仕切 @303 H3750</t>
        </is>
      </c>
      <c r="D24" s="33" t="n">
        <v>281.2</v>
      </c>
      <c r="E24" s="26" t="inlineStr">
        <is>
          <t>㎡</t>
        </is>
      </c>
      <c r="F24" s="28" t="n">
        <v>4200</v>
      </c>
      <c r="G24" s="28">
        <f>ROUND(D24*F24,0)</f>
        <v/>
      </c>
      <c r="H24" s="27" t="inlineStr">
        <is>
          <t>75.0m×3.75m</t>
        </is>
      </c>
      <c r="I24" s="29" t="inlineStr">
        <is>
          <t>03 軽量鉄骨下地工事</t>
        </is>
      </c>
    </row>
    <row r="25">
      <c r="A25" s="26" t="n">
        <v>3</v>
      </c>
      <c r="B25" s="27" t="inlineStr">
        <is>
          <t>天井下地 LGS19型</t>
        </is>
      </c>
      <c r="C25" s="27" t="inlineStr">
        <is>
          <t>BOH天井 @303</t>
        </is>
      </c>
      <c r="D25" s="33" t="n">
        <v>173.1</v>
      </c>
      <c r="E25" s="26" t="inlineStr">
        <is>
          <t>㎡</t>
        </is>
      </c>
      <c r="F25" s="28" t="n">
        <v>3800</v>
      </c>
      <c r="G25" s="28">
        <f>ROUND(D25*F25,0)</f>
        <v/>
      </c>
      <c r="H25" s="27" t="inlineStr">
        <is>
          <t>バックルーム5室計</t>
        </is>
      </c>
      <c r="I25" s="29" t="inlineStr">
        <is>
          <t>03 軽量鉄骨下地工事</t>
        </is>
      </c>
    </row>
    <row r="26">
      <c r="A26" s="26" t="n">
        <v>4</v>
      </c>
      <c r="B26" s="27" t="inlineStr">
        <is>
          <t>ファサードボーダー下地</t>
        </is>
      </c>
      <c r="C26" s="27" t="inlineStr">
        <is>
          <t>H650 LGS+ランナー、LEDサイン固定下地 FB t3</t>
        </is>
      </c>
      <c r="D26" s="33" t="n">
        <v>39.5</v>
      </c>
      <c r="E26" s="26" t="inlineStr">
        <is>
          <t>㎡</t>
        </is>
      </c>
      <c r="F26" s="28" t="n">
        <v>7500</v>
      </c>
      <c r="G26" s="28">
        <f>ROUND(D26*F26,0)</f>
        <v/>
      </c>
      <c r="H26" s="27" t="inlineStr">
        <is>
          <t>重量計算書 PB 13.5+22.9+3.1㎡</t>
        </is>
      </c>
      <c r="I26" s="29" t="inlineStr">
        <is>
          <t>03 軽量鉄骨下地工事</t>
        </is>
      </c>
    </row>
    <row r="27">
      <c r="A27" s="26" t="n">
        <v>5</v>
      </c>
      <c r="B27" s="27" t="inlineStr">
        <is>
          <t>防煙垂れ壁 下地・ボード</t>
        </is>
      </c>
      <c r="C27" s="27" t="inlineStr">
        <is>
          <t>H500 不燃 両面PB</t>
        </is>
      </c>
      <c r="D27" s="28" t="n">
        <v>25</v>
      </c>
      <c r="E27" s="26" t="inlineStr">
        <is>
          <t>m</t>
        </is>
      </c>
      <c r="F27" s="28" t="n">
        <v>9500</v>
      </c>
      <c r="G27" s="28">
        <f>ROUND(D27*F27,0)</f>
        <v/>
      </c>
      <c r="H27" s="27" t="inlineStr">
        <is>
          <t>平面図 防煙垂れ壁H=500（A工事分除く・要確認）</t>
        </is>
      </c>
      <c r="I27" s="29" t="inlineStr">
        <is>
          <t>03 軽量鉄骨下地工事</t>
        </is>
      </c>
    </row>
    <row r="28">
      <c r="A28" s="26" t="n">
        <v>6</v>
      </c>
      <c r="B28" s="27" t="inlineStr">
        <is>
          <t>建具開口補強</t>
        </is>
      </c>
      <c r="C28" s="27" t="inlineStr"/>
      <c r="D28" s="28" t="n">
        <v>11</v>
      </c>
      <c r="E28" s="26" t="inlineStr">
        <is>
          <t>箇所</t>
        </is>
      </c>
      <c r="F28" s="28" t="n">
        <v>12000</v>
      </c>
      <c r="G28" s="28">
        <f>ROUND(D28*F28,0)</f>
        <v/>
      </c>
      <c r="H28" s="27" t="inlineStr">
        <is>
          <t>建具表</t>
        </is>
      </c>
      <c r="I28" s="29" t="inlineStr">
        <is>
          <t>03 軽量鉄骨下地工事</t>
        </is>
      </c>
    </row>
    <row r="29">
      <c r="A29" s="26" t="n">
        <v>7</v>
      </c>
      <c r="B29" s="27" t="inlineStr">
        <is>
          <t>壁面什器取付下地</t>
        </is>
      </c>
      <c r="C29" s="27" t="inlineStr">
        <is>
          <t>合板t12 増し貼り H2400</t>
        </is>
      </c>
      <c r="D29" s="28" t="n">
        <v>264</v>
      </c>
      <c r="E29" s="26" t="inlineStr">
        <is>
          <t>㎡</t>
        </is>
      </c>
      <c r="F29" s="28" t="n">
        <v>3200</v>
      </c>
      <c r="G29" s="28">
        <f>ROUND(D29*F29,0)</f>
        <v/>
      </c>
      <c r="H29" s="27" t="inlineStr">
        <is>
          <t>壁面什器範囲</t>
        </is>
      </c>
      <c r="I29" s="29" t="inlineStr">
        <is>
          <t>03 軽量鉄骨下地工事</t>
        </is>
      </c>
    </row>
    <row r="30">
      <c r="A30" s="26" t="n">
        <v>8</v>
      </c>
      <c r="B30" s="27" t="inlineStr">
        <is>
          <t>ダウンライト開口・補強</t>
        </is>
      </c>
      <c r="C30" s="27" t="inlineStr">
        <is>
          <t>A工事天井 開口φ150+補強（A-00h）</t>
        </is>
      </c>
      <c r="D30" s="28" t="n">
        <v>396</v>
      </c>
      <c r="E30" s="26" t="inlineStr">
        <is>
          <t>箇所</t>
        </is>
      </c>
      <c r="F30" s="28" t="n">
        <v>2500</v>
      </c>
      <c r="G30" s="28">
        <f>ROUND(D30*F30,0)</f>
        <v/>
      </c>
      <c r="H30" s="27" t="inlineStr">
        <is>
          <t>BD+UD台数</t>
        </is>
      </c>
      <c r="I30" s="29" t="inlineStr">
        <is>
          <t>03 軽量鉄骨下地工事</t>
        </is>
      </c>
    </row>
    <row r="31">
      <c r="A31" s="30" t="n"/>
      <c r="B31" s="31" t="inlineStr">
        <is>
          <t>軽量鉄骨下地工事 小計</t>
        </is>
      </c>
      <c r="C31" s="30" t="n"/>
      <c r="D31" s="30" t="n"/>
      <c r="E31" s="30" t="n"/>
      <c r="F31" s="30" t="n"/>
      <c r="G31" s="32">
        <f>SUM(G23:G30)</f>
        <v/>
      </c>
      <c r="H31" s="30" t="n"/>
    </row>
    <row r="33">
      <c r="A33" s="24" t="inlineStr">
        <is>
          <t>04 ボード工事</t>
        </is>
      </c>
      <c r="B33" s="25" t="n"/>
      <c r="C33" s="25" t="n"/>
      <c r="D33" s="25" t="n"/>
      <c r="E33" s="25" t="n"/>
      <c r="F33" s="25" t="n"/>
      <c r="G33" s="25" t="n"/>
      <c r="H33" s="25" t="n"/>
    </row>
    <row r="34">
      <c r="A34" s="26" t="n">
        <v>1</v>
      </c>
      <c r="B34" s="27" t="inlineStr">
        <is>
          <t>壁 PB12.5 張り</t>
        </is>
      </c>
      <c r="C34" s="27" t="inlineStr">
        <is>
          <t>外周C工事壁 片面</t>
        </is>
      </c>
      <c r="D34" s="33" t="n">
        <v>412.5</v>
      </c>
      <c r="E34" s="26" t="inlineStr">
        <is>
          <t>㎡</t>
        </is>
      </c>
      <c r="F34" s="28" t="n">
        <v>1600</v>
      </c>
      <c r="G34" s="28">
        <f>ROUND(D34*F34,0)</f>
        <v/>
      </c>
      <c r="H34" s="27" t="inlineStr"/>
      <c r="I34" s="29" t="inlineStr">
        <is>
          <t>04 ボード工事</t>
        </is>
      </c>
    </row>
    <row r="35">
      <c r="A35" s="26" t="n">
        <v>2</v>
      </c>
      <c r="B35" s="27" t="inlineStr">
        <is>
          <t>間仕切 PB12.5 張り</t>
        </is>
      </c>
      <c r="C35" s="27" t="inlineStr">
        <is>
          <t>両面</t>
        </is>
      </c>
      <c r="D35" s="33" t="n">
        <v>562.5</v>
      </c>
      <c r="E35" s="26" t="inlineStr">
        <is>
          <t>㎡</t>
        </is>
      </c>
      <c r="F35" s="28" t="n">
        <v>1600</v>
      </c>
      <c r="G35" s="28">
        <f>ROUND(D35*F35,0)</f>
        <v/>
      </c>
      <c r="H35" s="27" t="inlineStr"/>
      <c r="I35" s="29" t="inlineStr">
        <is>
          <t>04 ボード工事</t>
        </is>
      </c>
    </row>
    <row r="36">
      <c r="A36" s="26" t="n">
        <v>3</v>
      </c>
      <c r="B36" s="27" t="inlineStr">
        <is>
          <t>天井 化粧石膏ボード GB-D(桐)</t>
        </is>
      </c>
      <c r="C36" s="27" t="inlineStr">
        <is>
          <t>吉野石膏 9.5 不燃NM-0128</t>
        </is>
      </c>
      <c r="D36" s="33" t="n">
        <v>173.1</v>
      </c>
      <c r="E36" s="26" t="inlineStr">
        <is>
          <t>㎡</t>
        </is>
      </c>
      <c r="F36" s="28" t="n">
        <v>2300</v>
      </c>
      <c r="G36" s="28">
        <f>ROUND(D36*F36,0)</f>
        <v/>
      </c>
      <c r="H36" s="27" t="inlineStr">
        <is>
          <t>仕上表 BOH天井</t>
        </is>
      </c>
      <c r="I36" s="29" t="inlineStr">
        <is>
          <t>04 ボード工事</t>
        </is>
      </c>
    </row>
    <row r="37">
      <c r="A37" s="26" t="n">
        <v>4</v>
      </c>
      <c r="B37" s="27" t="inlineStr">
        <is>
          <t>ファサード PB 張り</t>
        </is>
      </c>
      <c r="C37" s="27" t="inlineStr"/>
      <c r="D37" s="33" t="n">
        <v>39.5</v>
      </c>
      <c r="E37" s="26" t="inlineStr">
        <is>
          <t>㎡</t>
        </is>
      </c>
      <c r="F37" s="28" t="n">
        <v>1700</v>
      </c>
      <c r="G37" s="28">
        <f>ROUND(D37*F37,0)</f>
        <v/>
      </c>
      <c r="H37" s="27" t="inlineStr"/>
      <c r="I37" s="29" t="inlineStr">
        <is>
          <t>04 ボード工事</t>
        </is>
      </c>
    </row>
    <row r="38">
      <c r="A38" s="26" t="n">
        <v>5</v>
      </c>
      <c r="B38" s="27" t="inlineStr">
        <is>
          <t>天井点検口</t>
        </is>
      </c>
      <c r="C38" s="27" t="inlineStr">
        <is>
          <t>450角（C工事天井部）</t>
        </is>
      </c>
      <c r="D38" s="28" t="n">
        <v>6</v>
      </c>
      <c r="E38" s="26" t="inlineStr">
        <is>
          <t>箇所</t>
        </is>
      </c>
      <c r="F38" s="28" t="n">
        <v>15000</v>
      </c>
      <c r="G38" s="28">
        <f>ROUND(D38*F38,0)</f>
        <v/>
      </c>
      <c r="H38" s="27" t="inlineStr"/>
      <c r="I38" s="29" t="inlineStr">
        <is>
          <t>04 ボード工事</t>
        </is>
      </c>
    </row>
    <row r="39">
      <c r="A39" s="30" t="n"/>
      <c r="B39" s="31" t="inlineStr">
        <is>
          <t>ボード工事 小計</t>
        </is>
      </c>
      <c r="C39" s="30" t="n"/>
      <c r="D39" s="30" t="n"/>
      <c r="E39" s="30" t="n"/>
      <c r="F39" s="30" t="n"/>
      <c r="G39" s="32">
        <f>SUM(G34:G38)</f>
        <v/>
      </c>
      <c r="H39" s="30" t="n"/>
    </row>
    <row r="41">
      <c r="A41" s="24" t="inlineStr">
        <is>
          <t>05 床工事</t>
        </is>
      </c>
      <c r="B41" s="25" t="n"/>
      <c r="C41" s="25" t="n"/>
      <c r="D41" s="25" t="n"/>
      <c r="E41" s="25" t="n"/>
      <c r="F41" s="25" t="n"/>
      <c r="G41" s="25" t="n"/>
      <c r="H41" s="25" t="n"/>
    </row>
    <row r="42">
      <c r="A42" s="26" t="n">
        <v>1</v>
      </c>
      <c r="B42" s="27" t="inlineStr">
        <is>
          <t>床下地調整</t>
        </is>
      </c>
      <c r="C42" s="27" t="inlineStr">
        <is>
          <t>ケレン・パテしごき</t>
        </is>
      </c>
      <c r="D42" s="28" t="n">
        <v>1064</v>
      </c>
      <c r="E42" s="26" t="inlineStr">
        <is>
          <t>㎡</t>
        </is>
      </c>
      <c r="F42" s="28" t="n">
        <v>900</v>
      </c>
      <c r="G42" s="28">
        <f>ROUND(D42*F42,0)</f>
        <v/>
      </c>
      <c r="H42" s="27" t="inlineStr">
        <is>
          <t>既存躯体+水性ウレタン</t>
        </is>
      </c>
      <c r="I42" s="29" t="inlineStr">
        <is>
          <t>05 床工事</t>
        </is>
      </c>
    </row>
    <row r="43">
      <c r="A43" s="26" t="n">
        <v>2</v>
      </c>
      <c r="B43" s="27" t="inlineStr">
        <is>
          <t>塩ビタイル ES3001-45(グレー)</t>
        </is>
      </c>
      <c r="C43" s="27" t="inlineStr">
        <is>
          <t>川島セルコン 馬貼り FL+3 売場・FRブース外</t>
        </is>
      </c>
      <c r="D43" s="33" t="n">
        <v>855.1</v>
      </c>
      <c r="E43" s="26" t="inlineStr">
        <is>
          <t>㎡</t>
        </is>
      </c>
      <c r="F43" s="28" t="n">
        <v>4800</v>
      </c>
      <c r="G43" s="28">
        <f>ROUND(D43*F43,0)</f>
        <v/>
      </c>
      <c r="H43" s="27" t="inlineStr">
        <is>
          <t>売場−SW+FRブース外</t>
        </is>
      </c>
      <c r="I43" s="29" t="inlineStr">
        <is>
          <t>05 床工事</t>
        </is>
      </c>
    </row>
    <row r="44">
      <c r="A44" s="26" t="n">
        <v>3</v>
      </c>
      <c r="B44" s="27" t="inlineStr">
        <is>
          <t>塩ビタイル クラシックP-41(グレー)</t>
        </is>
      </c>
      <c r="C44" s="27" t="inlineStr">
        <is>
          <t>田島 FL+2 BOH・SW</t>
        </is>
      </c>
      <c r="D44" s="33" t="n">
        <v>194.7</v>
      </c>
      <c r="E44" s="26" t="inlineStr">
        <is>
          <t>㎡</t>
        </is>
      </c>
      <c r="F44" s="28" t="n">
        <v>3600</v>
      </c>
      <c r="G44" s="28">
        <f>ROUND(D44*F44,0)</f>
        <v/>
      </c>
      <c r="H44" s="27" t="inlineStr">
        <is>
          <t>BOH5室+SW</t>
        </is>
      </c>
      <c r="I44" s="29" t="inlineStr">
        <is>
          <t>05 床工事</t>
        </is>
      </c>
    </row>
    <row r="45">
      <c r="A45" s="26" t="n">
        <v>4</v>
      </c>
      <c r="B45" s="27" t="inlineStr">
        <is>
          <t>塩ビタイル ウッドライン WBH-603</t>
        </is>
      </c>
      <c r="C45" s="27" t="inlineStr">
        <is>
          <t>田島 乱貼り FRブース内</t>
        </is>
      </c>
      <c r="D45" s="33" t="n">
        <v>14.4</v>
      </c>
      <c r="E45" s="26" t="inlineStr">
        <is>
          <t>㎡</t>
        </is>
      </c>
      <c r="F45" s="28" t="n">
        <v>5500</v>
      </c>
      <c r="G45" s="28">
        <f>ROUND(D45*F45,0)</f>
        <v/>
      </c>
      <c r="H45" s="27" t="inlineStr">
        <is>
          <t>FR面積×40%</t>
        </is>
      </c>
      <c r="I45" s="29" t="inlineStr">
        <is>
          <t>05 床工事</t>
        </is>
      </c>
    </row>
    <row r="46">
      <c r="A46" s="26" t="n">
        <v>5</v>
      </c>
      <c r="B46" s="27" t="inlineStr">
        <is>
          <t>ソフト巾木 HB-89 H100</t>
        </is>
      </c>
      <c r="C46" s="27" t="inlineStr">
        <is>
          <t>タジマ ライトグレー 売場</t>
        </is>
      </c>
      <c r="D46" s="28" t="n">
        <v>120</v>
      </c>
      <c r="E46" s="26" t="inlineStr">
        <is>
          <t>m</t>
        </is>
      </c>
      <c r="F46" s="28" t="n">
        <v>1100</v>
      </c>
      <c r="G46" s="28">
        <f>ROUND(D46*F46,0)</f>
        <v/>
      </c>
      <c r="H46" s="27" t="inlineStr"/>
      <c r="I46" s="29" t="inlineStr">
        <is>
          <t>05 床工事</t>
        </is>
      </c>
    </row>
    <row r="47">
      <c r="A47" s="26" t="n">
        <v>6</v>
      </c>
      <c r="B47" s="27" t="inlineStr">
        <is>
          <t>ソフト巾木 TH75-96 H75</t>
        </is>
      </c>
      <c r="C47" s="27" t="inlineStr">
        <is>
          <t>東リ BOH</t>
        </is>
      </c>
      <c r="D47" s="28" t="n">
        <v>160</v>
      </c>
      <c r="E47" s="26" t="inlineStr">
        <is>
          <t>m</t>
        </is>
      </c>
      <c r="F47" s="28" t="n">
        <v>900</v>
      </c>
      <c r="G47" s="28">
        <f>ROUND(D47*F47,0)</f>
        <v/>
      </c>
      <c r="H47" s="27" t="inlineStr"/>
      <c r="I47" s="29" t="inlineStr">
        <is>
          <t>05 床工事</t>
        </is>
      </c>
    </row>
    <row r="48">
      <c r="A48" s="26" t="n">
        <v>7</v>
      </c>
      <c r="B48" s="27" t="inlineStr">
        <is>
          <t>巾木 WTH300-96 H300</t>
        </is>
      </c>
      <c r="C48" s="27" t="inlineStr">
        <is>
          <t>東リ FR</t>
        </is>
      </c>
      <c r="D48" s="28" t="n">
        <v>40</v>
      </c>
      <c r="E48" s="26" t="inlineStr">
        <is>
          <t>m</t>
        </is>
      </c>
      <c r="F48" s="28" t="n">
        <v>2600</v>
      </c>
      <c r="G48" s="28">
        <f>ROUND(D48*F48,0)</f>
        <v/>
      </c>
      <c r="H48" s="27" t="inlineStr"/>
      <c r="I48" s="29" t="inlineStr">
        <is>
          <t>05 床工事</t>
        </is>
      </c>
    </row>
    <row r="49">
      <c r="A49" s="26" t="n">
        <v>8</v>
      </c>
      <c r="B49" s="27" t="inlineStr">
        <is>
          <t>床見切り・リースライン際左官調整</t>
        </is>
      </c>
      <c r="C49" s="27" t="inlineStr">
        <is>
          <t>店頭断面詳細図</t>
        </is>
      </c>
      <c r="D49" s="33" t="n">
        <v>20.8</v>
      </c>
      <c r="E49" s="26" t="inlineStr">
        <is>
          <t>m</t>
        </is>
      </c>
      <c r="F49" s="28" t="n">
        <v>3500</v>
      </c>
      <c r="G49" s="28">
        <f>ROUND(D49*F49,0)</f>
        <v/>
      </c>
      <c r="H49" s="27" t="inlineStr"/>
      <c r="I49" s="29" t="inlineStr">
        <is>
          <t>05 床工事</t>
        </is>
      </c>
    </row>
    <row r="50">
      <c r="A50" s="26" t="n">
        <v>9</v>
      </c>
      <c r="B50" s="27" t="inlineStr">
        <is>
          <t>ドットシール</t>
        </is>
      </c>
      <c r="C50" s="27" t="inlineStr">
        <is>
          <t>避難導線・シャッターライン 450P φ30 リンテック</t>
        </is>
      </c>
      <c r="D50" s="28" t="n">
        <v>150</v>
      </c>
      <c r="E50" s="26" t="inlineStr">
        <is>
          <t>m</t>
        </is>
      </c>
      <c r="F50" s="28" t="n">
        <v>600</v>
      </c>
      <c r="G50" s="28">
        <f>ROUND(D50*F50,0)</f>
        <v/>
      </c>
      <c r="H50" s="27" t="inlineStr"/>
      <c r="I50" s="29" t="inlineStr">
        <is>
          <t>05 床工事</t>
        </is>
      </c>
    </row>
    <row r="51">
      <c r="A51" s="26" t="n">
        <v>10</v>
      </c>
      <c r="B51" s="27" t="inlineStr">
        <is>
          <t>分電盤まわりイエローテープ</t>
        </is>
      </c>
      <c r="C51" s="27" t="inlineStr">
        <is>
          <t>3M PM1981</t>
        </is>
      </c>
      <c r="D51" s="28" t="n">
        <v>1</v>
      </c>
      <c r="E51" s="26" t="inlineStr">
        <is>
          <t>式</t>
        </is>
      </c>
      <c r="F51" s="28" t="n">
        <v>15000</v>
      </c>
      <c r="G51" s="28">
        <f>ROUND(D51*F51,0)</f>
        <v/>
      </c>
      <c r="H51" s="27" t="inlineStr"/>
      <c r="I51" s="29" t="inlineStr">
        <is>
          <t>05 床工事</t>
        </is>
      </c>
    </row>
    <row r="52">
      <c r="A52" s="30" t="n"/>
      <c r="B52" s="31" t="inlineStr">
        <is>
          <t>床工事 小計</t>
        </is>
      </c>
      <c r="C52" s="30" t="n"/>
      <c r="D52" s="30" t="n"/>
      <c r="E52" s="30" t="n"/>
      <c r="F52" s="30" t="n"/>
      <c r="G52" s="32">
        <f>SUM(G42:G51)</f>
        <v/>
      </c>
      <c r="H52" s="30" t="n"/>
    </row>
    <row r="54">
      <c r="A54" s="24" t="inlineStr">
        <is>
          <t>06 塗装工事</t>
        </is>
      </c>
      <c r="B54" s="25" t="n"/>
      <c r="C54" s="25" t="n"/>
      <c r="D54" s="25" t="n"/>
      <c r="E54" s="25" t="n"/>
      <c r="F54" s="25" t="n"/>
      <c r="G54" s="25" t="n"/>
      <c r="H54" s="25" t="n"/>
    </row>
    <row r="55">
      <c r="A55" s="26" t="n">
        <v>1</v>
      </c>
      <c r="B55" s="27" t="inlineStr">
        <is>
          <t>天井 AEP N-93(白)ツヤ消し</t>
        </is>
      </c>
      <c r="C55" s="27" t="inlineStr">
        <is>
          <t>売場・FR CH3750</t>
        </is>
      </c>
      <c r="D55" s="33" t="n">
        <v>891.1</v>
      </c>
      <c r="E55" s="26" t="inlineStr">
        <is>
          <t>㎡</t>
        </is>
      </c>
      <c r="F55" s="28" t="n">
        <v>1400</v>
      </c>
      <c r="G55" s="28">
        <f>ROUND(D55*F55,0)</f>
        <v/>
      </c>
      <c r="H55" s="27" t="inlineStr">
        <is>
          <t>売場+FR</t>
        </is>
      </c>
      <c r="I55" s="29" t="inlineStr">
        <is>
          <t>06 塗装工事</t>
        </is>
      </c>
    </row>
    <row r="56">
      <c r="A56" s="26" t="n">
        <v>2</v>
      </c>
      <c r="B56" s="27" t="inlineStr">
        <is>
          <t>壁 AEP N-95(白)ツヤ消し</t>
        </is>
      </c>
      <c r="C56" s="27" t="inlineStr">
        <is>
          <t>売場外周・BOH</t>
        </is>
      </c>
      <c r="D56" s="28" t="n">
        <v>975</v>
      </c>
      <c r="E56" s="26" t="inlineStr">
        <is>
          <t>㎡</t>
        </is>
      </c>
      <c r="F56" s="28" t="n">
        <v>1200</v>
      </c>
      <c r="G56" s="28">
        <f>ROUND(D56*F56,0)</f>
        <v/>
      </c>
      <c r="H56" s="27" t="inlineStr"/>
      <c r="I56" s="29" t="inlineStr">
        <is>
          <t>06 塗装工事</t>
        </is>
      </c>
    </row>
    <row r="57">
      <c r="A57" s="26" t="n">
        <v>3</v>
      </c>
      <c r="B57" s="27" t="inlineStr">
        <is>
          <t>ショーウィンドウ壁 AEP N-87 3分ツヤ</t>
        </is>
      </c>
      <c r="C57" s="27" t="inlineStr"/>
      <c r="D57" s="28" t="n">
        <v>40</v>
      </c>
      <c r="E57" s="26" t="inlineStr">
        <is>
          <t>㎡</t>
        </is>
      </c>
      <c r="F57" s="28" t="n">
        <v>1500</v>
      </c>
      <c r="G57" s="28">
        <f>ROUND(D57*F57,0)</f>
        <v/>
      </c>
      <c r="H57" s="27" t="inlineStr"/>
      <c r="I57" s="29" t="inlineStr">
        <is>
          <t>06 塗装工事</t>
        </is>
      </c>
    </row>
    <row r="58">
      <c r="A58" s="26" t="n">
        <v>4</v>
      </c>
      <c r="B58" s="27" t="inlineStr">
        <is>
          <t>A工事避難扉 SOP N-87</t>
        </is>
      </c>
      <c r="C58" s="27" t="inlineStr">
        <is>
          <t>原状復旧対象</t>
        </is>
      </c>
      <c r="D58" s="28" t="n">
        <v>3</v>
      </c>
      <c r="E58" s="26" t="inlineStr">
        <is>
          <t>枚</t>
        </is>
      </c>
      <c r="F58" s="28" t="n">
        <v>18000</v>
      </c>
      <c r="G58" s="28">
        <f>ROUND(D58*F58,0)</f>
        <v/>
      </c>
      <c r="H58" s="27" t="inlineStr">
        <is>
          <t>平面図 注記</t>
        </is>
      </c>
      <c r="I58" s="29" t="inlineStr">
        <is>
          <t>06 塗装工事</t>
        </is>
      </c>
    </row>
    <row r="59">
      <c r="A59" s="30" t="n"/>
      <c r="B59" s="31" t="inlineStr">
        <is>
          <t>塗装工事 小計</t>
        </is>
      </c>
      <c r="C59" s="30" t="n"/>
      <c r="D59" s="30" t="n"/>
      <c r="E59" s="30" t="n"/>
      <c r="F59" s="30" t="n"/>
      <c r="G59" s="32">
        <f>SUM(G55:G58)</f>
        <v/>
      </c>
      <c r="H59" s="30" t="n"/>
    </row>
    <row r="61">
      <c r="A61" s="24" t="inlineStr">
        <is>
          <t>07 クロス工事</t>
        </is>
      </c>
      <c r="B61" s="25" t="n"/>
      <c r="C61" s="25" t="n"/>
      <c r="D61" s="25" t="n"/>
      <c r="E61" s="25" t="n"/>
      <c r="F61" s="25" t="n"/>
      <c r="G61" s="25" t="n"/>
      <c r="H61" s="25" t="n"/>
    </row>
    <row r="62">
      <c r="A62" s="26" t="n">
        <v>1</v>
      </c>
      <c r="B62" s="27" t="inlineStr">
        <is>
          <t>クロス LW-4630(白)</t>
        </is>
      </c>
      <c r="C62" s="27" t="inlineStr">
        <is>
          <t>リリカラ 不燃NM-3991 FRブース・壁面上部</t>
        </is>
      </c>
      <c r="D62" s="28" t="n">
        <v>150</v>
      </c>
      <c r="E62" s="26" t="inlineStr">
        <is>
          <t>㎡</t>
        </is>
      </c>
      <c r="F62" s="28" t="n">
        <v>1300</v>
      </c>
      <c r="G62" s="28">
        <f>ROUND(D62*F62,0)</f>
        <v/>
      </c>
      <c r="H62" s="27" t="inlineStr"/>
      <c r="I62" s="29" t="inlineStr">
        <is>
          <t>07 クロス工事</t>
        </is>
      </c>
    </row>
    <row r="63">
      <c r="A63" s="30" t="n"/>
      <c r="B63" s="31" t="inlineStr">
        <is>
          <t>クロス工事 小計</t>
        </is>
      </c>
      <c r="C63" s="30" t="n"/>
      <c r="D63" s="30" t="n"/>
      <c r="E63" s="30" t="n"/>
      <c r="F63" s="30" t="n"/>
      <c r="G63" s="32">
        <f>SUM(G62:G62)</f>
        <v/>
      </c>
      <c r="H63" s="30" t="n"/>
    </row>
    <row r="65">
      <c r="A65" s="24" t="inlineStr">
        <is>
          <t>08 木製建具・鋼製建具工事</t>
        </is>
      </c>
      <c r="B65" s="25" t="n"/>
      <c r="C65" s="25" t="n"/>
      <c r="D65" s="25" t="n"/>
      <c r="E65" s="25" t="n"/>
      <c r="F65" s="25" t="n"/>
      <c r="G65" s="25" t="n"/>
      <c r="H65" s="25" t="n"/>
    </row>
    <row r="66">
      <c r="A66" s="26" t="n">
        <v>1</v>
      </c>
      <c r="B66" s="27" t="inlineStr">
        <is>
          <t>WD-1A〜1D 片開き木製扉</t>
        </is>
      </c>
      <c r="C66" s="27" t="inlineStr">
        <is>
          <t>W800(1D:W1025)×H2125 ポリ化粧合板・三方枠 金物込</t>
        </is>
      </c>
      <c r="D66" s="28" t="n">
        <v>4</v>
      </c>
      <c r="E66" s="26" t="inlineStr">
        <is>
          <t>枚</t>
        </is>
      </c>
      <c r="F66" s="28" t="n">
        <v>165000</v>
      </c>
      <c r="G66" s="28">
        <f>ROUND(D66*F66,0)</f>
        <v/>
      </c>
      <c r="H66" s="27" t="inlineStr">
        <is>
          <t>建具表</t>
        </is>
      </c>
      <c r="I66" s="29" t="inlineStr">
        <is>
          <t>08 木製建具・鋼製建具工事</t>
        </is>
      </c>
    </row>
    <row r="67">
      <c r="A67" s="26" t="n">
        <v>2</v>
      </c>
      <c r="B67" s="27" t="inlineStr">
        <is>
          <t>WD-3A 親親開き木製扉</t>
        </is>
      </c>
      <c r="C67" s="27" t="inlineStr">
        <is>
          <t>W1250 倉庫 非常開装置付本締錠 DA-1E</t>
        </is>
      </c>
      <c r="D67" s="28" t="n">
        <v>1</v>
      </c>
      <c r="E67" s="26" t="inlineStr">
        <is>
          <t>組</t>
        </is>
      </c>
      <c r="F67" s="28" t="n">
        <v>260000</v>
      </c>
      <c r="G67" s="28">
        <f>ROUND(D67*F67,0)</f>
        <v/>
      </c>
      <c r="H67" s="27" t="inlineStr">
        <is>
          <t>建具表</t>
        </is>
      </c>
      <c r="I67" s="29" t="inlineStr">
        <is>
          <t>08 木製建具・鋼製建具工事</t>
        </is>
      </c>
    </row>
    <row r="68">
      <c r="A68" s="26" t="n">
        <v>3</v>
      </c>
      <c r="B68" s="27" t="inlineStr">
        <is>
          <t>WD-4A FRブース扉</t>
        </is>
      </c>
      <c r="C68" s="27" t="inlineStr">
        <is>
          <t>木目</t>
        </is>
      </c>
      <c r="D68" s="28" t="n">
        <v>1</v>
      </c>
      <c r="E68" s="26" t="inlineStr">
        <is>
          <t>枚</t>
        </is>
      </c>
      <c r="F68" s="28" t="n">
        <v>110000</v>
      </c>
      <c r="G68" s="28">
        <f>ROUND(D68*F68,0)</f>
        <v/>
      </c>
      <c r="H68" s="27" t="inlineStr">
        <is>
          <t>建具表</t>
        </is>
      </c>
      <c r="I68" s="29" t="inlineStr">
        <is>
          <t>08 木製建具・鋼製建具工事</t>
        </is>
      </c>
    </row>
    <row r="69">
      <c r="A69" s="26" t="n">
        <v>4</v>
      </c>
      <c r="B69" s="27" t="inlineStr">
        <is>
          <t>WD-5A 金庫隠し扉</t>
        </is>
      </c>
      <c r="C69" s="27" t="inlineStr">
        <is>
          <t>W850 ケースロック</t>
        </is>
      </c>
      <c r="D69" s="28" t="n">
        <v>1</v>
      </c>
      <c r="E69" s="26" t="inlineStr">
        <is>
          <t>枚</t>
        </is>
      </c>
      <c r="F69" s="28" t="n">
        <v>120000</v>
      </c>
      <c r="G69" s="28">
        <f>ROUND(D69*F69,0)</f>
        <v/>
      </c>
      <c r="H69" s="27" t="inlineStr">
        <is>
          <t>建具表</t>
        </is>
      </c>
      <c r="I69" s="29" t="inlineStr">
        <is>
          <t>08 木製建具・鋼製建具工事</t>
        </is>
      </c>
    </row>
    <row r="70">
      <c r="A70" s="26" t="n">
        <v>5</v>
      </c>
      <c r="B70" s="27" t="inlineStr">
        <is>
          <t>WD-5D 金庫室扉</t>
        </is>
      </c>
      <c r="C70" s="27" t="inlineStr">
        <is>
          <t>W665 固定有</t>
        </is>
      </c>
      <c r="D70" s="28" t="n">
        <v>1</v>
      </c>
      <c r="E70" s="26" t="inlineStr">
        <is>
          <t>組</t>
        </is>
      </c>
      <c r="F70" s="28" t="n">
        <v>150000</v>
      </c>
      <c r="G70" s="28">
        <f>ROUND(D70*F70,0)</f>
        <v/>
      </c>
      <c r="H70" s="27" t="inlineStr">
        <is>
          <t>建具表 E-06</t>
        </is>
      </c>
      <c r="I70" s="29" t="inlineStr">
        <is>
          <t>08 木製建具・鋼製建具工事</t>
        </is>
      </c>
    </row>
    <row r="71">
      <c r="A71" s="26" t="n">
        <v>6</v>
      </c>
      <c r="B71" s="27" t="inlineStr">
        <is>
          <t>WD-6 フレームレス扉</t>
        </is>
      </c>
      <c r="C71" s="27" t="inlineStr">
        <is>
          <t>隠し丁番・プッシュツマミ</t>
        </is>
      </c>
      <c r="D71" s="28" t="n">
        <v>1</v>
      </c>
      <c r="E71" s="26" t="inlineStr">
        <is>
          <t>枚</t>
        </is>
      </c>
      <c r="F71" s="28" t="n">
        <v>95000</v>
      </c>
      <c r="G71" s="28">
        <f>ROUND(D71*F71,0)</f>
        <v/>
      </c>
      <c r="H71" s="27" t="inlineStr">
        <is>
          <t>建具表</t>
        </is>
      </c>
      <c r="I71" s="29" t="inlineStr">
        <is>
          <t>08 木製建具・鋼製建具工事</t>
        </is>
      </c>
    </row>
    <row r="72">
      <c r="A72" s="26" t="n">
        <v>7</v>
      </c>
      <c r="B72" s="27" t="inlineStr">
        <is>
          <t>SD-1A 片開きスチールドア</t>
        </is>
      </c>
      <c r="C72" s="27" t="inlineStr">
        <is>
          <t>W800 t1.6 ウレタン塗装 休憩室〜店長室</t>
        </is>
      </c>
      <c r="D72" s="28" t="n">
        <v>1</v>
      </c>
      <c r="E72" s="26" t="inlineStr">
        <is>
          <t>枚</t>
        </is>
      </c>
      <c r="F72" s="28" t="n">
        <v>230000</v>
      </c>
      <c r="G72" s="28">
        <f>ROUND(D72*F72,0)</f>
        <v/>
      </c>
      <c r="H72" s="27" t="inlineStr">
        <is>
          <t>建具表</t>
        </is>
      </c>
      <c r="I72" s="29" t="inlineStr">
        <is>
          <t>08 木製建具・鋼製建具工事</t>
        </is>
      </c>
    </row>
    <row r="73">
      <c r="A73" s="26" t="n">
        <v>8</v>
      </c>
      <c r="B73" s="27" t="inlineStr">
        <is>
          <t>SG-1 排煙水平ガラリ</t>
        </is>
      </c>
      <c r="C73" s="27" t="inlineStr">
        <is>
          <t>スチール t1.6 白塗装</t>
        </is>
      </c>
      <c r="D73" s="28" t="n">
        <v>3</v>
      </c>
      <c r="E73" s="26" t="inlineStr">
        <is>
          <t>箇所</t>
        </is>
      </c>
      <c r="F73" s="28" t="n">
        <v>85000</v>
      </c>
      <c r="G73" s="28">
        <f>ROUND(D73*F73,0)</f>
        <v/>
      </c>
      <c r="H73" s="27" t="inlineStr">
        <is>
          <t>建具・ガラリ表（箇所数要確認）</t>
        </is>
      </c>
      <c r="I73" s="29" t="inlineStr">
        <is>
          <t>08 木製建具・鋼製建具工事</t>
        </is>
      </c>
    </row>
    <row r="74">
      <c r="A74" s="26" t="n">
        <v>9</v>
      </c>
      <c r="B74" s="27" t="inlineStr">
        <is>
          <t>鍵（共通キー・マスターキー対応）</t>
        </is>
      </c>
      <c r="C74" s="27" t="inlineStr">
        <is>
          <t>金庫室×5本・共通×5本</t>
        </is>
      </c>
      <c r="D74" s="28" t="n">
        <v>1</v>
      </c>
      <c r="E74" s="26" t="inlineStr">
        <is>
          <t>式</t>
        </is>
      </c>
      <c r="F74" s="28" t="n">
        <v>60000</v>
      </c>
      <c r="G74" s="28">
        <f>ROUND(D74*F74,0)</f>
        <v/>
      </c>
      <c r="H74" s="27" t="inlineStr">
        <is>
          <t>建具表 注記</t>
        </is>
      </c>
      <c r="I74" s="29" t="inlineStr">
        <is>
          <t>08 木製建具・鋼製建具工事</t>
        </is>
      </c>
    </row>
    <row r="75">
      <c r="A75" s="30" t="n"/>
      <c r="B75" s="31" t="inlineStr">
        <is>
          <t>木製建具・鋼製建具工事 小計</t>
        </is>
      </c>
      <c r="C75" s="30" t="n"/>
      <c r="D75" s="30" t="n"/>
      <c r="E75" s="30" t="n"/>
      <c r="F75" s="30" t="n"/>
      <c r="G75" s="32">
        <f>SUM(G66:G74)</f>
        <v/>
      </c>
      <c r="H75" s="30" t="n"/>
    </row>
    <row r="77">
      <c r="A77" s="24" t="inlineStr">
        <is>
          <t>09 金属工事</t>
        </is>
      </c>
      <c r="B77" s="25" t="n"/>
      <c r="C77" s="25" t="n"/>
      <c r="D77" s="25" t="n"/>
      <c r="E77" s="25" t="n"/>
      <c r="F77" s="25" t="n"/>
      <c r="G77" s="25" t="n"/>
      <c r="H77" s="25" t="n"/>
    </row>
    <row r="78">
      <c r="A78" s="26" t="n">
        <v>1</v>
      </c>
      <c r="B78" s="27" t="inlineStr">
        <is>
          <t>各見切り</t>
        </is>
      </c>
      <c r="C78" s="27" t="inlineStr">
        <is>
          <t>SUS・アルミ見切り（B-07）</t>
        </is>
      </c>
      <c r="D78" s="28" t="n">
        <v>120</v>
      </c>
      <c r="E78" s="26" t="inlineStr">
        <is>
          <t>m</t>
        </is>
      </c>
      <c r="F78" s="28" t="n">
        <v>1800</v>
      </c>
      <c r="G78" s="28">
        <f>ROUND(D78*F78,0)</f>
        <v/>
      </c>
      <c r="H78" s="27" t="inlineStr"/>
      <c r="I78" s="29" t="inlineStr">
        <is>
          <t>09 金属工事</t>
        </is>
      </c>
    </row>
    <row r="79">
      <c r="A79" s="26" t="n">
        <v>2</v>
      </c>
      <c r="B79" s="27" t="inlineStr">
        <is>
          <t>自動ドアガード</t>
        </is>
      </c>
      <c r="C79" s="27" t="inlineStr">
        <is>
          <t>B-13</t>
        </is>
      </c>
      <c r="D79" s="28" t="n">
        <v>1</v>
      </c>
      <c r="E79" s="26" t="inlineStr">
        <is>
          <t>式</t>
        </is>
      </c>
      <c r="F79" s="28" t="n">
        <v>120000</v>
      </c>
      <c r="G79" s="28">
        <f>ROUND(D79*F79,0)</f>
        <v/>
      </c>
      <c r="H79" s="27" t="inlineStr"/>
      <c r="I79" s="29" t="inlineStr">
        <is>
          <t>09 金属工事</t>
        </is>
      </c>
    </row>
    <row r="80">
      <c r="A80" s="26" t="n">
        <v>3</v>
      </c>
      <c r="B80" s="27" t="inlineStr">
        <is>
          <t>防犯ネット取付</t>
        </is>
      </c>
      <c r="C80" s="27" t="inlineStr">
        <is>
          <t>A-15</t>
        </is>
      </c>
      <c r="D80" s="28" t="n">
        <v>1</v>
      </c>
      <c r="E80" s="26" t="inlineStr">
        <is>
          <t>式</t>
        </is>
      </c>
      <c r="F80" s="28" t="n">
        <v>80000</v>
      </c>
      <c r="G80" s="28">
        <f>ROUND(D80*F80,0)</f>
        <v/>
      </c>
      <c r="H80" s="27" t="inlineStr"/>
      <c r="I80" s="29" t="inlineStr">
        <is>
          <t>09 金属工事</t>
        </is>
      </c>
    </row>
    <row r="81">
      <c r="A81" s="26" t="n">
        <v>4</v>
      </c>
      <c r="B81" s="27" t="inlineStr">
        <is>
          <t>台車ガード</t>
        </is>
      </c>
      <c r="C81" s="27" t="inlineStr">
        <is>
          <t>アルポリ t2 ストック扉</t>
        </is>
      </c>
      <c r="D81" s="28" t="n">
        <v>1</v>
      </c>
      <c r="E81" s="26" t="inlineStr">
        <is>
          <t>式</t>
        </is>
      </c>
      <c r="F81" s="28" t="n">
        <v>40000</v>
      </c>
      <c r="G81" s="28">
        <f>ROUND(D81*F81,0)</f>
        <v/>
      </c>
      <c r="H81" s="27" t="inlineStr"/>
      <c r="I81" s="29" t="inlineStr">
        <is>
          <t>09 金属工事</t>
        </is>
      </c>
    </row>
    <row r="82">
      <c r="A82" s="26" t="n">
        <v>5</v>
      </c>
      <c r="B82" s="27" t="inlineStr">
        <is>
          <t>金庫固定金具</t>
        </is>
      </c>
      <c r="C82" s="27" t="inlineStr">
        <is>
          <t>C-05</t>
        </is>
      </c>
      <c r="D82" s="28" t="n">
        <v>1</v>
      </c>
      <c r="E82" s="26" t="inlineStr">
        <is>
          <t>式</t>
        </is>
      </c>
      <c r="F82" s="28" t="n">
        <v>35000</v>
      </c>
      <c r="G82" s="28">
        <f>ROUND(D82*F82,0)</f>
        <v/>
      </c>
      <c r="H82" s="27" t="inlineStr"/>
      <c r="I82" s="29" t="inlineStr">
        <is>
          <t>09 金属工事</t>
        </is>
      </c>
    </row>
    <row r="83">
      <c r="A83" s="26" t="n">
        <v>6</v>
      </c>
      <c r="B83" s="27" t="inlineStr">
        <is>
          <t>ピクチャーレール</t>
        </is>
      </c>
      <c r="C83" s="27" t="inlineStr">
        <is>
          <t>VPテーブル上 B-09a</t>
        </is>
      </c>
      <c r="D83" s="28" t="n">
        <v>20</v>
      </c>
      <c r="E83" s="26" t="inlineStr">
        <is>
          <t>m</t>
        </is>
      </c>
      <c r="F83" s="28" t="n">
        <v>4500</v>
      </c>
      <c r="G83" s="28">
        <f>ROUND(D83*F83,0)</f>
        <v/>
      </c>
      <c r="H83" s="27" t="inlineStr"/>
      <c r="I83" s="29" t="inlineStr">
        <is>
          <t>09 金属工事</t>
        </is>
      </c>
    </row>
    <row r="84">
      <c r="A84" s="30" t="n"/>
      <c r="B84" s="31" t="inlineStr">
        <is>
          <t>金属工事 小計</t>
        </is>
      </c>
      <c r="C84" s="30" t="n"/>
      <c r="D84" s="30" t="n"/>
      <c r="E84" s="30" t="n"/>
      <c r="F84" s="30" t="n"/>
      <c r="G84" s="32">
        <f>SUM(G78:G83)</f>
        <v/>
      </c>
      <c r="H84" s="30" t="n"/>
    </row>
    <row r="86">
      <c r="A86" s="24" t="inlineStr">
        <is>
          <t>10 造作家具工事</t>
        </is>
      </c>
      <c r="B86" s="25" t="n"/>
      <c r="C86" s="25" t="n"/>
      <c r="D86" s="25" t="n"/>
      <c r="E86" s="25" t="n"/>
      <c r="F86" s="25" t="n"/>
      <c r="G86" s="25" t="n"/>
      <c r="H86" s="25" t="n"/>
    </row>
    <row r="87">
      <c r="A87" s="26" t="n">
        <v>1</v>
      </c>
      <c r="B87" s="27" t="inlineStr">
        <is>
          <t>レジバック造作</t>
        </is>
      </c>
      <c r="C87" s="27" t="inlineStr">
        <is>
          <t>C-03</t>
        </is>
      </c>
      <c r="D87" s="28" t="n">
        <v>1</v>
      </c>
      <c r="E87" s="26" t="inlineStr">
        <is>
          <t>式</t>
        </is>
      </c>
      <c r="F87" s="28" t="n">
        <v>850000</v>
      </c>
      <c r="G87" s="28">
        <f>ROUND(D87*F87,0)</f>
        <v/>
      </c>
      <c r="H87" s="27" t="inlineStr"/>
      <c r="I87" s="29" t="inlineStr">
        <is>
          <t>10 造作家具工事</t>
        </is>
      </c>
    </row>
    <row r="88">
      <c r="A88" s="26" t="n">
        <v>2</v>
      </c>
      <c r="B88" s="27" t="inlineStr">
        <is>
          <t>レジバック棚板</t>
        </is>
      </c>
      <c r="C88" s="27" t="inlineStr">
        <is>
          <t>W600/W900 C-04</t>
        </is>
      </c>
      <c r="D88" s="28" t="n">
        <v>1</v>
      </c>
      <c r="E88" s="26" t="inlineStr">
        <is>
          <t>式</t>
        </is>
      </c>
      <c r="F88" s="28" t="n">
        <v>120000</v>
      </c>
      <c r="G88" s="28">
        <f>ROUND(D88*F88,0)</f>
        <v/>
      </c>
      <c r="H88" s="27" t="inlineStr"/>
      <c r="I88" s="29" t="inlineStr">
        <is>
          <t>10 造作家具工事</t>
        </is>
      </c>
    </row>
    <row r="89">
      <c r="A89" s="26" t="n">
        <v>3</v>
      </c>
      <c r="B89" s="27" t="inlineStr">
        <is>
          <t>試着室（FR）造作</t>
        </is>
      </c>
      <c r="C89" s="27" t="inlineStr">
        <is>
          <t>ブース間仕切・三方枠・カーテンレール D-01〜D-08</t>
        </is>
      </c>
      <c r="D89" s="28" t="n">
        <v>10</v>
      </c>
      <c r="E89" s="26" t="inlineStr">
        <is>
          <t>室</t>
        </is>
      </c>
      <c r="F89" s="28" t="n">
        <v>180000</v>
      </c>
      <c r="G89" s="28">
        <f>ROUND(D89*F89,0)</f>
        <v/>
      </c>
      <c r="H89" s="27" t="inlineStr">
        <is>
          <t>ブース数は仮定（要確認）</t>
        </is>
      </c>
      <c r="I89" s="29" t="inlineStr">
        <is>
          <t>10 造作家具工事</t>
        </is>
      </c>
    </row>
    <row r="90">
      <c r="A90" s="26" t="n">
        <v>4</v>
      </c>
      <c r="B90" s="27" t="inlineStr">
        <is>
          <t>FRソファー（大型）</t>
        </is>
      </c>
      <c r="C90" s="27" t="inlineStr">
        <is>
          <t>D-06</t>
        </is>
      </c>
      <c r="D90" s="28" t="n">
        <v>2</v>
      </c>
      <c r="E90" s="26" t="inlineStr">
        <is>
          <t>台</t>
        </is>
      </c>
      <c r="F90" s="28" t="n">
        <v>120000</v>
      </c>
      <c r="G90" s="28">
        <f>ROUND(D90*F90,0)</f>
        <v/>
      </c>
      <c r="H90" s="27" t="inlineStr"/>
      <c r="I90" s="29" t="inlineStr">
        <is>
          <t>10 造作家具工事</t>
        </is>
      </c>
    </row>
    <row r="91">
      <c r="A91" s="26" t="n">
        <v>5</v>
      </c>
      <c r="B91" s="27" t="inlineStr">
        <is>
          <t>FR収納棚</t>
        </is>
      </c>
      <c r="C91" s="27" t="inlineStr"/>
      <c r="D91" s="28" t="n">
        <v>1</v>
      </c>
      <c r="E91" s="26" t="inlineStr">
        <is>
          <t>式</t>
        </is>
      </c>
      <c r="F91" s="28" t="n">
        <v>250000</v>
      </c>
      <c r="G91" s="28">
        <f>ROUND(D91*F91,0)</f>
        <v/>
      </c>
      <c r="H91" s="27" t="inlineStr"/>
      <c r="I91" s="29" t="inlineStr">
        <is>
          <t>10 造作家具工事</t>
        </is>
      </c>
    </row>
    <row r="92">
      <c r="A92" s="26" t="n">
        <v>6</v>
      </c>
      <c r="B92" s="27" t="inlineStr">
        <is>
          <t>FRカーテン</t>
        </is>
      </c>
      <c r="C92" s="27" t="inlineStr">
        <is>
          <t>単品図</t>
        </is>
      </c>
      <c r="D92" s="28" t="n">
        <v>10</v>
      </c>
      <c r="E92" s="26" t="inlineStr">
        <is>
          <t>枚</t>
        </is>
      </c>
      <c r="F92" s="28" t="n">
        <v>22000</v>
      </c>
      <c r="G92" s="28">
        <f>ROUND(D92*F92,0)</f>
        <v/>
      </c>
      <c r="H92" s="27" t="inlineStr"/>
      <c r="I92" s="29" t="inlineStr">
        <is>
          <t>10 造作家具工事</t>
        </is>
      </c>
    </row>
    <row r="93">
      <c r="A93" s="26" t="n">
        <v>7</v>
      </c>
      <c r="B93" s="27" t="inlineStr">
        <is>
          <t>補正室棚板</t>
        </is>
      </c>
      <c r="C93" s="27" t="inlineStr">
        <is>
          <t>F-03</t>
        </is>
      </c>
      <c r="D93" s="28" t="n">
        <v>1</v>
      </c>
      <c r="E93" s="26" t="inlineStr">
        <is>
          <t>式</t>
        </is>
      </c>
      <c r="F93" s="28" t="n">
        <v>150000</v>
      </c>
      <c r="G93" s="28">
        <f>ROUND(D93*F93,0)</f>
        <v/>
      </c>
      <c r="H93" s="27" t="inlineStr"/>
      <c r="I93" s="29" t="inlineStr">
        <is>
          <t>10 造作家具工事</t>
        </is>
      </c>
    </row>
    <row r="94">
      <c r="A94" s="26" t="n">
        <v>8</v>
      </c>
      <c r="B94" s="27" t="inlineStr">
        <is>
          <t>ストックルーム棚</t>
        </is>
      </c>
      <c r="C94" s="27" t="inlineStr">
        <is>
          <t>棚2段（平面図）</t>
        </is>
      </c>
      <c r="D94" s="28" t="n">
        <v>1</v>
      </c>
      <c r="E94" s="26" t="inlineStr">
        <is>
          <t>式</t>
        </is>
      </c>
      <c r="F94" s="28" t="n">
        <v>600000</v>
      </c>
      <c r="G94" s="28">
        <f>ROUND(D94*F94,0)</f>
        <v/>
      </c>
      <c r="H94" s="27" t="inlineStr">
        <is>
          <t>什器支給品の場合は減額</t>
        </is>
      </c>
      <c r="I94" s="29" t="inlineStr">
        <is>
          <t>10 造作家具工事</t>
        </is>
      </c>
    </row>
    <row r="95">
      <c r="A95" s="26" t="n">
        <v>9</v>
      </c>
      <c r="B95" s="27" t="inlineStr">
        <is>
          <t>休憩室流し台まわり</t>
        </is>
      </c>
      <c r="C95" s="27" t="inlineStr">
        <is>
          <t>F-05（給排水接続は別途）</t>
        </is>
      </c>
      <c r="D95" s="28" t="n">
        <v>1</v>
      </c>
      <c r="E95" s="26" t="inlineStr">
        <is>
          <t>式</t>
        </is>
      </c>
      <c r="F95" s="28" t="n">
        <v>280000</v>
      </c>
      <c r="G95" s="28">
        <f>ROUND(D95*F95,0)</f>
        <v/>
      </c>
      <c r="H95" s="27" t="inlineStr"/>
      <c r="I95" s="29" t="inlineStr">
        <is>
          <t>10 造作家具工事</t>
        </is>
      </c>
    </row>
    <row r="96">
      <c r="A96" s="26" t="n">
        <v>10</v>
      </c>
      <c r="B96" s="27" t="inlineStr">
        <is>
          <t>店長室収納棚</t>
        </is>
      </c>
      <c r="C96" s="27" t="inlineStr">
        <is>
          <t>H2164</t>
        </is>
      </c>
      <c r="D96" s="28" t="n">
        <v>1</v>
      </c>
      <c r="E96" s="26" t="inlineStr">
        <is>
          <t>式</t>
        </is>
      </c>
      <c r="F96" s="28" t="n">
        <v>180000</v>
      </c>
      <c r="G96" s="28">
        <f>ROUND(D96*F96,0)</f>
        <v/>
      </c>
      <c r="H96" s="27" t="inlineStr"/>
      <c r="I96" s="29" t="inlineStr">
        <is>
          <t>10 造作家具工事</t>
        </is>
      </c>
    </row>
    <row r="97">
      <c r="A97" s="26" t="n">
        <v>11</v>
      </c>
      <c r="B97" s="27" t="inlineStr">
        <is>
          <t>タペストリーボックス</t>
        </is>
      </c>
      <c r="C97" s="27" t="inlineStr">
        <is>
          <t>B-14</t>
        </is>
      </c>
      <c r="D97" s="28" t="n">
        <v>2</v>
      </c>
      <c r="E97" s="26" t="inlineStr">
        <is>
          <t>台</t>
        </is>
      </c>
      <c r="F97" s="28" t="n">
        <v>90000</v>
      </c>
      <c r="G97" s="28">
        <f>ROUND(D97*F97,0)</f>
        <v/>
      </c>
      <c r="H97" s="27" t="inlineStr"/>
      <c r="I97" s="29" t="inlineStr">
        <is>
          <t>10 造作家具工事</t>
        </is>
      </c>
    </row>
    <row r="98">
      <c r="A98" s="26" t="n">
        <v>12</v>
      </c>
      <c r="B98" s="27" t="inlineStr">
        <is>
          <t>ファサードショーウィンドー造作</t>
        </is>
      </c>
      <c r="C98" s="27" t="inlineStr">
        <is>
          <t>B-10</t>
        </is>
      </c>
      <c r="D98" s="28" t="n">
        <v>1</v>
      </c>
      <c r="E98" s="26" t="inlineStr">
        <is>
          <t>式</t>
        </is>
      </c>
      <c r="F98" s="28" t="n">
        <v>650000</v>
      </c>
      <c r="G98" s="28">
        <f>ROUND(D98*F98,0)</f>
        <v/>
      </c>
      <c r="H98" s="27" t="inlineStr"/>
      <c r="I98" s="29" t="inlineStr">
        <is>
          <t>10 造作家具工事</t>
        </is>
      </c>
    </row>
    <row r="99">
      <c r="A99" s="26" t="n">
        <v>13</v>
      </c>
      <c r="B99" s="27" t="inlineStr">
        <is>
          <t>ファサードボンデパネル</t>
        </is>
      </c>
      <c r="C99" s="27" t="inlineStr">
        <is>
          <t>B-15</t>
        </is>
      </c>
      <c r="D99" s="28" t="n">
        <v>1</v>
      </c>
      <c r="E99" s="26" t="inlineStr">
        <is>
          <t>式</t>
        </is>
      </c>
      <c r="F99" s="28" t="n">
        <v>450000</v>
      </c>
      <c r="G99" s="28">
        <f>ROUND(D99*F99,0)</f>
        <v/>
      </c>
      <c r="H99" s="27" t="inlineStr"/>
      <c r="I99" s="29" t="inlineStr">
        <is>
          <t>10 造作家具工事</t>
        </is>
      </c>
    </row>
    <row r="100">
      <c r="A100" s="26" t="n">
        <v>14</v>
      </c>
      <c r="B100" s="27" t="inlineStr">
        <is>
          <t>ロールスクリーン</t>
        </is>
      </c>
      <c r="C100" s="27" t="inlineStr">
        <is>
          <t>ショーウィンドウ B-11</t>
        </is>
      </c>
      <c r="D100" s="28" t="n">
        <v>3</v>
      </c>
      <c r="E100" s="26" t="inlineStr">
        <is>
          <t>台</t>
        </is>
      </c>
      <c r="F100" s="28" t="n">
        <v>65000</v>
      </c>
      <c r="G100" s="28">
        <f>ROUND(D100*F100,0)</f>
        <v/>
      </c>
      <c r="H100" s="27" t="inlineStr"/>
      <c r="I100" s="29" t="inlineStr">
        <is>
          <t>10 造作家具工事</t>
        </is>
      </c>
    </row>
    <row r="101">
      <c r="A101" s="30" t="n"/>
      <c r="B101" s="31" t="inlineStr">
        <is>
          <t>造作家具工事 小計</t>
        </is>
      </c>
      <c r="C101" s="30" t="n"/>
      <c r="D101" s="30" t="n"/>
      <c r="E101" s="30" t="n"/>
      <c r="F101" s="30" t="n"/>
      <c r="G101" s="32">
        <f>SUM(G87:G100)</f>
        <v/>
      </c>
      <c r="H101" s="30" t="n"/>
    </row>
    <row r="103">
      <c r="A103" s="24" t="inlineStr">
        <is>
          <t>11 ガラス・ミラー工事</t>
        </is>
      </c>
      <c r="B103" s="25" t="n"/>
      <c r="C103" s="25" t="n"/>
      <c r="D103" s="25" t="n"/>
      <c r="E103" s="25" t="n"/>
      <c r="F103" s="25" t="n"/>
      <c r="G103" s="25" t="n"/>
      <c r="H103" s="25" t="n"/>
    </row>
    <row r="104">
      <c r="A104" s="26" t="n">
        <v>1</v>
      </c>
      <c r="B104" s="27" t="inlineStr">
        <is>
          <t>柱巻ミラー（独立柱）</t>
        </is>
      </c>
      <c r="C104" s="27" t="inlineStr">
        <is>
          <t>B-03a</t>
        </is>
      </c>
      <c r="D104" s="28" t="n">
        <v>6</v>
      </c>
      <c r="E104" s="26" t="inlineStr">
        <is>
          <t>本</t>
        </is>
      </c>
      <c r="F104" s="28" t="n">
        <v>280000</v>
      </c>
      <c r="G104" s="28">
        <f>ROUND(D104*F104,0)</f>
        <v/>
      </c>
      <c r="H104" s="27" t="inlineStr">
        <is>
          <t>本数は通り芯から仮定</t>
        </is>
      </c>
      <c r="I104" s="29" t="inlineStr">
        <is>
          <t>11 ガラス・ミラー工事</t>
        </is>
      </c>
    </row>
    <row r="105">
      <c r="A105" s="26" t="n">
        <v>2</v>
      </c>
      <c r="B105" s="27" t="inlineStr">
        <is>
          <t>柱巻ミラー（什器隣接柱）</t>
        </is>
      </c>
      <c r="C105" s="27" t="inlineStr">
        <is>
          <t>B-03b</t>
        </is>
      </c>
      <c r="D105" s="28" t="n">
        <v>4</v>
      </c>
      <c r="E105" s="26" t="inlineStr">
        <is>
          <t>本</t>
        </is>
      </c>
      <c r="F105" s="28" t="n">
        <v>160000</v>
      </c>
      <c r="G105" s="28">
        <f>ROUND(D105*F105,0)</f>
        <v/>
      </c>
      <c r="H105" s="27" t="inlineStr"/>
      <c r="I105" s="29" t="inlineStr">
        <is>
          <t>11 ガラス・ミラー工事</t>
        </is>
      </c>
    </row>
    <row r="106">
      <c r="A106" s="26" t="n">
        <v>3</v>
      </c>
      <c r="B106" s="27" t="inlineStr">
        <is>
          <t>FRミラー</t>
        </is>
      </c>
      <c r="C106" s="27" t="inlineStr">
        <is>
          <t>各ブース</t>
        </is>
      </c>
      <c r="D106" s="28" t="n">
        <v>10</v>
      </c>
      <c r="E106" s="26" t="inlineStr">
        <is>
          <t>枚</t>
        </is>
      </c>
      <c r="F106" s="28" t="n">
        <v>28000</v>
      </c>
      <c r="G106" s="28">
        <f>ROUND(D106*F106,0)</f>
        <v/>
      </c>
      <c r="H106" s="27" t="inlineStr"/>
      <c r="I106" s="29" t="inlineStr">
        <is>
          <t>11 ガラス・ミラー工事</t>
        </is>
      </c>
    </row>
    <row r="107">
      <c r="A107" s="30" t="n"/>
      <c r="B107" s="31" t="inlineStr">
        <is>
          <t>ガラス・ミラー工事 小計</t>
        </is>
      </c>
      <c r="C107" s="30" t="n"/>
      <c r="D107" s="30" t="n"/>
      <c r="E107" s="30" t="n"/>
      <c r="F107" s="30" t="n"/>
      <c r="G107" s="32">
        <f>SUM(G104:G106)</f>
        <v/>
      </c>
      <c r="H107" s="30" t="n"/>
    </row>
    <row r="109">
      <c r="A109" s="24" t="inlineStr">
        <is>
          <t>12 サイン工事</t>
        </is>
      </c>
      <c r="B109" s="25" t="n"/>
      <c r="C109" s="25" t="n"/>
      <c r="D109" s="25" t="n"/>
      <c r="E109" s="25" t="n"/>
      <c r="F109" s="25" t="n"/>
      <c r="G109" s="25" t="n"/>
      <c r="H109" s="25" t="n"/>
    </row>
    <row r="110">
      <c r="A110" s="26" t="n">
        <v>1</v>
      </c>
      <c r="B110" s="27" t="inlineStr">
        <is>
          <t>ファサード内照式ロゴサイン 取付</t>
        </is>
      </c>
      <c r="C110" s="27" t="inlineStr">
        <is>
          <t>G-10【支給品】電源接続含む</t>
        </is>
      </c>
      <c r="D110" s="28" t="n">
        <v>1</v>
      </c>
      <c r="E110" s="26" t="inlineStr">
        <is>
          <t>式</t>
        </is>
      </c>
      <c r="F110" s="28" t="n">
        <v>180000</v>
      </c>
      <c r="G110" s="28">
        <f>ROUND(D110*F110,0)</f>
        <v/>
      </c>
      <c r="H110" s="27" t="inlineStr"/>
      <c r="I110" s="29" t="inlineStr">
        <is>
          <t>12 サイン工事</t>
        </is>
      </c>
    </row>
    <row r="111">
      <c r="A111" s="26" t="n">
        <v>2</v>
      </c>
      <c r="B111" s="27" t="inlineStr">
        <is>
          <t>GUロゴアクリルサイン 製作取付</t>
        </is>
      </c>
      <c r="C111" s="27" t="inlineStr">
        <is>
          <t>G-03</t>
        </is>
      </c>
      <c r="D111" s="28" t="n">
        <v>1</v>
      </c>
      <c r="E111" s="26" t="inlineStr">
        <is>
          <t>式</t>
        </is>
      </c>
      <c r="F111" s="28" t="n">
        <v>120000</v>
      </c>
      <c r="G111" s="28">
        <f>ROUND(D111*F111,0)</f>
        <v/>
      </c>
      <c r="H111" s="27" t="inlineStr"/>
      <c r="I111" s="29" t="inlineStr">
        <is>
          <t>12 サイン工事</t>
        </is>
      </c>
    </row>
    <row r="112">
      <c r="A112" s="26" t="n">
        <v>3</v>
      </c>
      <c r="B112" s="27" t="inlineStr">
        <is>
          <t>ガラスサッシロゴサイン</t>
        </is>
      </c>
      <c r="C112" s="27" t="inlineStr">
        <is>
          <t>G-05 シート</t>
        </is>
      </c>
      <c r="D112" s="28" t="n">
        <v>1</v>
      </c>
      <c r="E112" s="26" t="inlineStr">
        <is>
          <t>式</t>
        </is>
      </c>
      <c r="F112" s="28" t="n">
        <v>60000</v>
      </c>
      <c r="G112" s="28">
        <f>ROUND(D112*F112,0)</f>
        <v/>
      </c>
      <c r="H112" s="27" t="inlineStr"/>
      <c r="I112" s="29" t="inlineStr">
        <is>
          <t>12 サイン工事</t>
        </is>
      </c>
    </row>
    <row r="113">
      <c r="A113" s="26" t="n">
        <v>4</v>
      </c>
      <c r="B113" s="27" t="inlineStr">
        <is>
          <t>欄間サイン</t>
        </is>
      </c>
      <c r="C113" s="27" t="inlineStr">
        <is>
          <t>B-12</t>
        </is>
      </c>
      <c r="D113" s="28" t="n">
        <v>1</v>
      </c>
      <c r="E113" s="26" t="inlineStr">
        <is>
          <t>式</t>
        </is>
      </c>
      <c r="F113" s="28" t="n">
        <v>120000</v>
      </c>
      <c r="G113" s="28">
        <f>ROUND(D113*F113,0)</f>
        <v/>
      </c>
      <c r="H113" s="27" t="inlineStr"/>
      <c r="I113" s="29" t="inlineStr">
        <is>
          <t>12 サイン工事</t>
        </is>
      </c>
    </row>
    <row r="114">
      <c r="A114" s="26" t="n">
        <v>5</v>
      </c>
      <c r="B114" s="27" t="inlineStr">
        <is>
          <t>会計誘導・建具CS・FRナンバー・キャッシャーサイン</t>
        </is>
      </c>
      <c r="C114" s="27" t="inlineStr">
        <is>
          <t>G-01/G-02/G-04</t>
        </is>
      </c>
      <c r="D114" s="28" t="n">
        <v>1</v>
      </c>
      <c r="E114" s="26" t="inlineStr">
        <is>
          <t>式</t>
        </is>
      </c>
      <c r="F114" s="28" t="n">
        <v>180000</v>
      </c>
      <c r="G114" s="28">
        <f>ROUND(D114*F114,0)</f>
        <v/>
      </c>
      <c r="H114" s="27" t="inlineStr"/>
      <c r="I114" s="29" t="inlineStr">
        <is>
          <t>12 サイン工事</t>
        </is>
      </c>
    </row>
    <row r="115">
      <c r="A115" s="26" t="n">
        <v>6</v>
      </c>
      <c r="B115" s="27" t="inlineStr">
        <is>
          <t>注意喚起サイン</t>
        </is>
      </c>
      <c r="C115" s="27" t="inlineStr">
        <is>
          <t>G-06</t>
        </is>
      </c>
      <c r="D115" s="28" t="n">
        <v>1</v>
      </c>
      <c r="E115" s="26" t="inlineStr">
        <is>
          <t>式</t>
        </is>
      </c>
      <c r="F115" s="28" t="n">
        <v>40000</v>
      </c>
      <c r="G115" s="28">
        <f>ROUND(D115*F115,0)</f>
        <v/>
      </c>
      <c r="H115" s="27" t="inlineStr"/>
      <c r="I115" s="29" t="inlineStr">
        <is>
          <t>12 サイン工事</t>
        </is>
      </c>
    </row>
    <row r="116">
      <c r="A116" s="26" t="n">
        <v>7</v>
      </c>
      <c r="B116" s="27" t="inlineStr">
        <is>
          <t>LEDサイン 取付</t>
        </is>
      </c>
      <c r="C116" s="27" t="inlineStr">
        <is>
          <t>G-08/G-09【支給品】</t>
        </is>
      </c>
      <c r="D116" s="28" t="n">
        <v>2</v>
      </c>
      <c r="E116" s="26" t="inlineStr">
        <is>
          <t>台</t>
        </is>
      </c>
      <c r="F116" s="28" t="n">
        <v>35000</v>
      </c>
      <c r="G116" s="28">
        <f>ROUND(D116*F116,0)</f>
        <v/>
      </c>
      <c r="H116" s="27" t="inlineStr"/>
      <c r="I116" s="29" t="inlineStr">
        <is>
          <t>12 サイン工事</t>
        </is>
      </c>
    </row>
    <row r="117">
      <c r="A117" s="26" t="n">
        <v>8</v>
      </c>
      <c r="B117" s="27" t="inlineStr">
        <is>
          <t>ポスターパネル設置</t>
        </is>
      </c>
      <c r="C117" s="27" t="inlineStr">
        <is>
          <t>A-00g</t>
        </is>
      </c>
      <c r="D117" s="28" t="n">
        <v>1</v>
      </c>
      <c r="E117" s="26" t="inlineStr">
        <is>
          <t>式</t>
        </is>
      </c>
      <c r="F117" s="28" t="n">
        <v>80000</v>
      </c>
      <c r="G117" s="28">
        <f>ROUND(D117*F117,0)</f>
        <v/>
      </c>
      <c r="H117" s="27" t="inlineStr"/>
      <c r="I117" s="29" t="inlineStr">
        <is>
          <t>12 サイン工事</t>
        </is>
      </c>
    </row>
    <row r="118">
      <c r="A118" s="26" t="n">
        <v>9</v>
      </c>
      <c r="B118" s="27" t="inlineStr">
        <is>
          <t>OPEN告知・外部サイン</t>
        </is>
      </c>
      <c r="C118" s="27" t="inlineStr"/>
      <c r="D118" s="28" t="n">
        <v>1</v>
      </c>
      <c r="E118" s="26" t="inlineStr">
        <is>
          <t>式</t>
        </is>
      </c>
      <c r="F118" s="28" t="n">
        <v>150000</v>
      </c>
      <c r="G118" s="28">
        <f>ROUND(D118*F118,0)</f>
        <v/>
      </c>
      <c r="H118" s="27" t="inlineStr">
        <is>
          <t>仕様要確認</t>
        </is>
      </c>
      <c r="I118" s="29" t="inlineStr">
        <is>
          <t>12 サイン工事</t>
        </is>
      </c>
    </row>
    <row r="119">
      <c r="A119" s="30" t="n"/>
      <c r="B119" s="31" t="inlineStr">
        <is>
          <t>サイン工事 小計</t>
        </is>
      </c>
      <c r="C119" s="30" t="n"/>
      <c r="D119" s="30" t="n"/>
      <c r="E119" s="30" t="n"/>
      <c r="F119" s="30" t="n"/>
      <c r="G119" s="32">
        <f>SUM(G110:G118)</f>
        <v/>
      </c>
      <c r="H119" s="30" t="n"/>
    </row>
    <row r="121">
      <c r="A121" s="24" t="inlineStr">
        <is>
          <t>13 電気設備工事</t>
        </is>
      </c>
      <c r="B121" s="25" t="n"/>
      <c r="C121" s="25" t="n"/>
      <c r="D121" s="25" t="n"/>
      <c r="E121" s="25" t="n"/>
      <c r="F121" s="25" t="n"/>
      <c r="G121" s="25" t="n"/>
      <c r="H121" s="25" t="n"/>
    </row>
    <row r="122">
      <c r="A122" s="26" t="n">
        <v>1</v>
      </c>
      <c r="B122" s="27" t="inlineStr">
        <is>
          <t>テナント分電盤 電灯盤-1</t>
        </is>
      </c>
      <c r="C122" s="27" t="inlineStr">
        <is>
          <t>河村電器 自立 1φ3W MCB3P 225AF/200AT ELB×24</t>
        </is>
      </c>
      <c r="D122" s="28" t="n">
        <v>1</v>
      </c>
      <c r="E122" s="26" t="inlineStr">
        <is>
          <t>面</t>
        </is>
      </c>
      <c r="F122" s="28" t="n">
        <v>980000</v>
      </c>
      <c r="G122" s="28">
        <f>ROUND(D122*F122,0)</f>
        <v/>
      </c>
      <c r="H122" s="27" t="inlineStr">
        <is>
          <t>盤図 U54836-01</t>
        </is>
      </c>
      <c r="I122" s="29" t="inlineStr">
        <is>
          <t>13 電気設備工事</t>
        </is>
      </c>
    </row>
    <row r="123">
      <c r="A123" s="26" t="n">
        <v>2</v>
      </c>
      <c r="B123" s="27" t="inlineStr">
        <is>
          <t>テナント分電盤 電灯盤-2</t>
        </is>
      </c>
      <c r="C123" s="27" t="inlineStr">
        <is>
          <t>河村電器 自立 1φ3W MCB3P 225AF/175AT ELB×28</t>
        </is>
      </c>
      <c r="D123" s="28" t="n">
        <v>1</v>
      </c>
      <c r="E123" s="26" t="inlineStr">
        <is>
          <t>面</t>
        </is>
      </c>
      <c r="F123" s="28" t="n">
        <v>980000</v>
      </c>
      <c r="G123" s="28">
        <f>ROUND(D123*F123,0)</f>
        <v/>
      </c>
      <c r="H123" s="27" t="inlineStr">
        <is>
          <t>盤図 U54836-02</t>
        </is>
      </c>
      <c r="I123" s="29" t="inlineStr">
        <is>
          <t>13 電気設備工事</t>
        </is>
      </c>
    </row>
    <row r="124">
      <c r="A124" s="26" t="n">
        <v>3</v>
      </c>
      <c r="B124" s="27" t="inlineStr">
        <is>
          <t>分電盤 据付・搬入</t>
        </is>
      </c>
      <c r="C124" s="27" t="inlineStr">
        <is>
          <t>約106kg/面 チャンネルベース アンカー</t>
        </is>
      </c>
      <c r="D124" s="28" t="n">
        <v>2</v>
      </c>
      <c r="E124" s="26" t="inlineStr">
        <is>
          <t>面</t>
        </is>
      </c>
      <c r="F124" s="28" t="n">
        <v>120000</v>
      </c>
      <c r="G124" s="28">
        <f>ROUND(D124*F124,0)</f>
        <v/>
      </c>
      <c r="H124" s="27" t="inlineStr"/>
      <c r="I124" s="29" t="inlineStr">
        <is>
          <t>13 電気設備工事</t>
        </is>
      </c>
    </row>
    <row r="125">
      <c r="A125" s="26" t="n">
        <v>4</v>
      </c>
      <c r="B125" s="27" t="inlineStr">
        <is>
          <t>幹線工事</t>
        </is>
      </c>
      <c r="C125" s="27" t="inlineStr">
        <is>
          <t>主開閉器盤→テナント盤 CVT 2系統</t>
        </is>
      </c>
      <c r="D125" s="28" t="n">
        <v>1</v>
      </c>
      <c r="E125" s="26" t="inlineStr">
        <is>
          <t>式</t>
        </is>
      </c>
      <c r="F125" s="28" t="n">
        <v>450000</v>
      </c>
      <c r="G125" s="28">
        <f>ROUND(D125*F125,0)</f>
        <v/>
      </c>
      <c r="H125" s="27" t="inlineStr"/>
      <c r="I125" s="29" t="inlineStr">
        <is>
          <t>13 電気設備工事</t>
        </is>
      </c>
    </row>
    <row r="126">
      <c r="A126" s="26" t="n">
        <v>5</v>
      </c>
      <c r="B126" s="27" t="inlineStr">
        <is>
          <t>照明器具 BD1-35 LED67.1W DL55°</t>
        </is>
      </c>
      <c r="C126" s="27" t="inlineStr">
        <is>
          <t>3500K Ra85 電源ユニット込</t>
        </is>
      </c>
      <c r="D126" s="28" t="n">
        <v>99</v>
      </c>
      <c r="E126" s="26" t="inlineStr">
        <is>
          <t>台</t>
        </is>
      </c>
      <c r="F126" s="28" t="n">
        <v>39000</v>
      </c>
      <c r="G126" s="28">
        <f>ROUND(D126*F126,0)</f>
        <v/>
      </c>
      <c r="H126" s="27" t="inlineStr">
        <is>
          <t>照明器具表</t>
        </is>
      </c>
      <c r="I126" s="29" t="inlineStr">
        <is>
          <t>13 電気設備工事</t>
        </is>
      </c>
    </row>
    <row r="127">
      <c r="A127" s="26" t="n">
        <v>6</v>
      </c>
      <c r="B127" s="27" t="inlineStr">
        <is>
          <t>照明器具 BD3-35 LED45.5W DL55°</t>
        </is>
      </c>
      <c r="C127" s="27" t="inlineStr">
        <is>
          <t>3500K Ra85 電源ユニット込</t>
        </is>
      </c>
      <c r="D127" s="28" t="n">
        <v>87</v>
      </c>
      <c r="E127" s="26" t="inlineStr">
        <is>
          <t>台</t>
        </is>
      </c>
      <c r="F127" s="28" t="n">
        <v>34000</v>
      </c>
      <c r="G127" s="28">
        <f>ROUND(D127*F127,0)</f>
        <v/>
      </c>
      <c r="H127" s="27" t="inlineStr">
        <is>
          <t>照明器具表</t>
        </is>
      </c>
      <c r="I127" s="29" t="inlineStr">
        <is>
          <t>13 電気設備工事</t>
        </is>
      </c>
    </row>
    <row r="128">
      <c r="A128" s="26" t="n">
        <v>7</v>
      </c>
      <c r="B128" s="27" t="inlineStr">
        <is>
          <t>照明器具 BD4-35 LED45.5W DL45°</t>
        </is>
      </c>
      <c r="C128" s="27" t="inlineStr">
        <is>
          <t>3500K Ra85 電源ユニット込</t>
        </is>
      </c>
      <c r="D128" s="28" t="n">
        <v>12</v>
      </c>
      <c r="E128" s="26" t="inlineStr">
        <is>
          <t>台</t>
        </is>
      </c>
      <c r="F128" s="28" t="n">
        <v>34000</v>
      </c>
      <c r="G128" s="28">
        <f>ROUND(D128*F128,0)</f>
        <v/>
      </c>
      <c r="H128" s="27" t="inlineStr">
        <is>
          <t>照明器具表</t>
        </is>
      </c>
      <c r="I128" s="29" t="inlineStr">
        <is>
          <t>13 電気設備工事</t>
        </is>
      </c>
    </row>
    <row r="129">
      <c r="A129" s="26" t="n">
        <v>8</v>
      </c>
      <c r="B129" s="27" t="inlineStr">
        <is>
          <t>照明器具 BD5-35 LED38.8W DL55°</t>
        </is>
      </c>
      <c r="C129" s="27" t="inlineStr">
        <is>
          <t>3500K Ra85 電源ユニット込</t>
        </is>
      </c>
      <c r="D129" s="28" t="n">
        <v>59</v>
      </c>
      <c r="E129" s="26" t="inlineStr">
        <is>
          <t>台</t>
        </is>
      </c>
      <c r="F129" s="28" t="n">
        <v>30000</v>
      </c>
      <c r="G129" s="28">
        <f>ROUND(D129*F129,0)</f>
        <v/>
      </c>
      <c r="H129" s="27" t="inlineStr">
        <is>
          <t>照明器具表</t>
        </is>
      </c>
      <c r="I129" s="29" t="inlineStr">
        <is>
          <t>13 電気設備工事</t>
        </is>
      </c>
    </row>
    <row r="130">
      <c r="A130" s="26" t="n">
        <v>9</v>
      </c>
      <c r="B130" s="27" t="inlineStr">
        <is>
          <t>照明器具 BD6-35 LED17.6W DL55°</t>
        </is>
      </c>
      <c r="C130" s="27" t="inlineStr">
        <is>
          <t>3500K Ra85 電源ユニット込</t>
        </is>
      </c>
      <c r="D130" s="28" t="n">
        <v>5</v>
      </c>
      <c r="E130" s="26" t="inlineStr">
        <is>
          <t>台</t>
        </is>
      </c>
      <c r="F130" s="28" t="n">
        <v>24000</v>
      </c>
      <c r="G130" s="28">
        <f>ROUND(D130*F130,0)</f>
        <v/>
      </c>
      <c r="H130" s="27" t="inlineStr">
        <is>
          <t>照明器具表</t>
        </is>
      </c>
      <c r="I130" s="29" t="inlineStr">
        <is>
          <t>13 電気設備工事</t>
        </is>
      </c>
    </row>
    <row r="131">
      <c r="A131" s="26" t="n">
        <v>10</v>
      </c>
      <c r="B131" s="27" t="inlineStr">
        <is>
          <t>照明器具 UD6-35 LED34.9W ユニDL20°</t>
        </is>
      </c>
      <c r="C131" s="27" t="inlineStr">
        <is>
          <t>3500K Ra85 電源ユニット込</t>
        </is>
      </c>
      <c r="D131" s="28" t="n">
        <v>37</v>
      </c>
      <c r="E131" s="26" t="inlineStr">
        <is>
          <t>台</t>
        </is>
      </c>
      <c r="F131" s="28" t="n">
        <v>36000</v>
      </c>
      <c r="G131" s="28">
        <f>ROUND(D131*F131,0)</f>
        <v/>
      </c>
      <c r="H131" s="27" t="inlineStr">
        <is>
          <t>照明器具表</t>
        </is>
      </c>
      <c r="I131" s="29" t="inlineStr">
        <is>
          <t>13 電気設備工事</t>
        </is>
      </c>
    </row>
    <row r="132">
      <c r="A132" s="26" t="n">
        <v>11</v>
      </c>
      <c r="B132" s="27" t="inlineStr">
        <is>
          <t>照明器具 UD7-35 LED34.9W ユニDL30°</t>
        </is>
      </c>
      <c r="C132" s="27" t="inlineStr">
        <is>
          <t>3500K Ra85 電源ユニット込</t>
        </is>
      </c>
      <c r="D132" s="28" t="n">
        <v>79</v>
      </c>
      <c r="E132" s="26" t="inlineStr">
        <is>
          <t>台</t>
        </is>
      </c>
      <c r="F132" s="28" t="n">
        <v>36000</v>
      </c>
      <c r="G132" s="28">
        <f>ROUND(D132*F132,0)</f>
        <v/>
      </c>
      <c r="H132" s="27" t="inlineStr">
        <is>
          <t>照明器具表</t>
        </is>
      </c>
      <c r="I132" s="29" t="inlineStr">
        <is>
          <t>13 電気設備工事</t>
        </is>
      </c>
    </row>
    <row r="133">
      <c r="A133" s="26" t="n">
        <v>12</v>
      </c>
      <c r="B133" s="27" t="inlineStr">
        <is>
          <t>照明器具 UD8-35 LED34.9W ユニDL35°</t>
        </is>
      </c>
      <c r="C133" s="27" t="inlineStr">
        <is>
          <t>3500K Ra85 電源ユニット込</t>
        </is>
      </c>
      <c r="D133" s="28" t="n">
        <v>18</v>
      </c>
      <c r="E133" s="26" t="inlineStr">
        <is>
          <t>台</t>
        </is>
      </c>
      <c r="F133" s="28" t="n">
        <v>36000</v>
      </c>
      <c r="G133" s="28">
        <f>ROUND(D133*F133,0)</f>
        <v/>
      </c>
      <c r="H133" s="27" t="inlineStr">
        <is>
          <t>照明器具表</t>
        </is>
      </c>
      <c r="I133" s="29" t="inlineStr">
        <is>
          <t>13 電気設備工事</t>
        </is>
      </c>
    </row>
    <row r="134">
      <c r="A134" s="26" t="n">
        <v>13</v>
      </c>
      <c r="B134" s="27" t="inlineStr">
        <is>
          <t>照明器具 BL1/BL2 直付ベースライト</t>
        </is>
      </c>
      <c r="C134" s="27" t="inlineStr"/>
      <c r="D134" s="28" t="n">
        <v>13</v>
      </c>
      <c r="E134" s="26" t="inlineStr">
        <is>
          <t>台</t>
        </is>
      </c>
      <c r="F134" s="28" t="n">
        <v>19000</v>
      </c>
      <c r="G134" s="28">
        <f>ROUND(D134*F134,0)</f>
        <v/>
      </c>
      <c r="H134" s="27" t="inlineStr">
        <is>
          <t>照明器具表</t>
        </is>
      </c>
      <c r="I134" s="29" t="inlineStr">
        <is>
          <t>13 電気設備工事</t>
        </is>
      </c>
    </row>
    <row r="135">
      <c r="A135" s="26" t="n">
        <v>14</v>
      </c>
      <c r="B135" s="27" t="inlineStr">
        <is>
          <t>照明器具 SP1 LEDスポット</t>
        </is>
      </c>
      <c r="C135" s="27" t="inlineStr">
        <is>
          <t>UQS22322SP</t>
        </is>
      </c>
      <c r="D135" s="28" t="n">
        <v>17</v>
      </c>
      <c r="E135" s="26" t="inlineStr">
        <is>
          <t>台</t>
        </is>
      </c>
      <c r="F135" s="28" t="n">
        <v>33000</v>
      </c>
      <c r="G135" s="28">
        <f>ROUND(D135*F135,0)</f>
        <v/>
      </c>
      <c r="H135" s="27" t="inlineStr">
        <is>
          <t>照明器具表</t>
        </is>
      </c>
      <c r="I135" s="29" t="inlineStr">
        <is>
          <t>13 電気設備工事</t>
        </is>
      </c>
    </row>
    <row r="136">
      <c r="A136" s="26" t="n">
        <v>15</v>
      </c>
      <c r="B136" s="27" t="inlineStr">
        <is>
          <t>照明器具 SP2 LEDスポット</t>
        </is>
      </c>
      <c r="C136" s="27" t="inlineStr">
        <is>
          <t>ERS4815BB</t>
        </is>
      </c>
      <c r="D136" s="28" t="n">
        <v>11</v>
      </c>
      <c r="E136" s="26" t="inlineStr">
        <is>
          <t>台</t>
        </is>
      </c>
      <c r="F136" s="28" t="n">
        <v>16000</v>
      </c>
      <c r="G136" s="28">
        <f>ROUND(D136*F136,0)</f>
        <v/>
      </c>
      <c r="H136" s="27" t="inlineStr">
        <is>
          <t>照明器具表</t>
        </is>
      </c>
      <c r="I136" s="29" t="inlineStr">
        <is>
          <t>13 電気設備工事</t>
        </is>
      </c>
    </row>
    <row r="137">
      <c r="A137" s="26" t="n">
        <v>16</v>
      </c>
      <c r="B137" s="27" t="inlineStr">
        <is>
          <t>LEDテープライト IL1</t>
        </is>
      </c>
      <c r="C137" s="27" t="inlineStr">
        <is>
          <t>FX50-LED 直流電源込</t>
        </is>
      </c>
      <c r="D137" s="28" t="n">
        <v>1</v>
      </c>
      <c r="E137" s="26" t="inlineStr">
        <is>
          <t>式</t>
        </is>
      </c>
      <c r="F137" s="28" t="n">
        <v>35000</v>
      </c>
      <c r="G137" s="28">
        <f>ROUND(D137*F137,0)</f>
        <v/>
      </c>
      <c r="H137" s="27" t="inlineStr">
        <is>
          <t>照明器具表</t>
        </is>
      </c>
      <c r="I137" s="29" t="inlineStr">
        <is>
          <t>13 電気設備工事</t>
        </is>
      </c>
    </row>
    <row r="138">
      <c r="A138" s="26" t="n">
        <v>17</v>
      </c>
      <c r="B138" s="27" t="inlineStr">
        <is>
          <t>照明器具取付</t>
        </is>
      </c>
      <c r="C138" s="27" t="inlineStr">
        <is>
          <t>落下防止ワイヤー取付 CH3750</t>
        </is>
      </c>
      <c r="D138" s="28" t="n">
        <v>438</v>
      </c>
      <c r="E138" s="26" t="inlineStr">
        <is>
          <t>台</t>
        </is>
      </c>
      <c r="F138" s="28" t="n">
        <v>4500</v>
      </c>
      <c r="G138" s="28">
        <f>ROUND(D138*F138,0)</f>
        <v/>
      </c>
      <c r="H138" s="27" t="inlineStr"/>
      <c r="I138" s="29" t="inlineStr">
        <is>
          <t>13 電気設備工事</t>
        </is>
      </c>
    </row>
    <row r="139">
      <c r="A139" s="26" t="n">
        <v>18</v>
      </c>
      <c r="B139" s="27" t="inlineStr">
        <is>
          <t>照明配線・配管</t>
        </is>
      </c>
      <c r="C139" s="27" t="inlineStr">
        <is>
          <t>EM-EEF・ジョイントボックス（ワゴ接続禁止）</t>
        </is>
      </c>
      <c r="D139" s="28" t="n">
        <v>438</v>
      </c>
      <c r="E139" s="26" t="inlineStr">
        <is>
          <t>灯</t>
        </is>
      </c>
      <c r="F139" s="28" t="n">
        <v>6500</v>
      </c>
      <c r="G139" s="28">
        <f>ROUND(D139*F139,0)</f>
        <v/>
      </c>
      <c r="H139" s="27" t="inlineStr">
        <is>
          <t>施工指針書 11-3</t>
        </is>
      </c>
      <c r="I139" s="29" t="inlineStr">
        <is>
          <t>13 電気設備工事</t>
        </is>
      </c>
    </row>
    <row r="140">
      <c r="A140" s="26" t="n">
        <v>19</v>
      </c>
      <c r="B140" s="27" t="inlineStr">
        <is>
          <t>スイッチ・3路スイッチ</t>
        </is>
      </c>
      <c r="C140" s="27" t="inlineStr">
        <is>
          <t>照明・空調・換気SW移設含む</t>
        </is>
      </c>
      <c r="D140" s="28" t="n">
        <v>15</v>
      </c>
      <c r="E140" s="26" t="inlineStr">
        <is>
          <t>箇所</t>
        </is>
      </c>
      <c r="F140" s="28" t="n">
        <v>9000</v>
      </c>
      <c r="G140" s="28">
        <f>ROUND(D140*F140,0)</f>
        <v/>
      </c>
      <c r="H140" s="27" t="inlineStr">
        <is>
          <t>平面図</t>
        </is>
      </c>
      <c r="I140" s="29" t="inlineStr">
        <is>
          <t>13 電気設備工事</t>
        </is>
      </c>
    </row>
    <row r="141">
      <c r="A141" s="26" t="n">
        <v>20</v>
      </c>
      <c r="B141" s="27" t="inlineStr">
        <is>
          <t>ダブルコンセント</t>
        </is>
      </c>
      <c r="C141" s="27" t="inlineStr">
        <is>
          <t>配線込</t>
        </is>
      </c>
      <c r="D141" s="28" t="n">
        <v>41</v>
      </c>
      <c r="E141" s="26" t="inlineStr">
        <is>
          <t>個</t>
        </is>
      </c>
      <c r="F141" s="28" t="n">
        <v>12000</v>
      </c>
      <c r="G141" s="28">
        <f>ROUND(D141*F141,0)</f>
        <v/>
      </c>
      <c r="H141" s="27" t="inlineStr">
        <is>
          <t>照明器具表</t>
        </is>
      </c>
      <c r="I141" s="29" t="inlineStr">
        <is>
          <t>13 電気設備工事</t>
        </is>
      </c>
    </row>
    <row r="142">
      <c r="A142" s="26" t="n">
        <v>21</v>
      </c>
      <c r="B142" s="27" t="inlineStr">
        <is>
          <t>抜け止め接地付ダブルコンセント</t>
        </is>
      </c>
      <c r="C142" s="27" t="inlineStr">
        <is>
          <t>配線込</t>
        </is>
      </c>
      <c r="D142" s="28" t="n">
        <v>42</v>
      </c>
      <c r="E142" s="26" t="inlineStr">
        <is>
          <t>個</t>
        </is>
      </c>
      <c r="F142" s="28" t="n">
        <v>13500</v>
      </c>
      <c r="G142" s="28">
        <f>ROUND(D142*F142,0)</f>
        <v/>
      </c>
      <c r="H142" s="27" t="inlineStr">
        <is>
          <t>照明器具表</t>
        </is>
      </c>
      <c r="I142" s="29" t="inlineStr">
        <is>
          <t>13 電気設備工事</t>
        </is>
      </c>
    </row>
    <row r="143">
      <c r="A143" s="26" t="n">
        <v>22</v>
      </c>
      <c r="B143" s="27" t="inlineStr">
        <is>
          <t>天井裏ダブルコンセント</t>
        </is>
      </c>
      <c r="C143" s="27" t="inlineStr"/>
      <c r="D143" s="28" t="n">
        <v>4</v>
      </c>
      <c r="E143" s="26" t="inlineStr">
        <is>
          <t>個</t>
        </is>
      </c>
      <c r="F143" s="28" t="n">
        <v>9000</v>
      </c>
      <c r="G143" s="28">
        <f>ROUND(D143*F143,0)</f>
        <v/>
      </c>
      <c r="H143" s="27" t="inlineStr">
        <is>
          <t>照明器具表</t>
        </is>
      </c>
      <c r="I143" s="29" t="inlineStr">
        <is>
          <t>13 電気設備工事</t>
        </is>
      </c>
    </row>
    <row r="144">
      <c r="A144" s="26" t="n">
        <v>23</v>
      </c>
      <c r="B144" s="27" t="inlineStr">
        <is>
          <t>カットリレーコンセント 空配管・電源</t>
        </is>
      </c>
      <c r="C144" s="27" t="inlineStr">
        <is>
          <t>本体・信号線はB工事</t>
        </is>
      </c>
      <c r="D144" s="28" t="n">
        <v>1</v>
      </c>
      <c r="E144" s="26" t="inlineStr">
        <is>
          <t>箇所</t>
        </is>
      </c>
      <c r="F144" s="28" t="n">
        <v>15000</v>
      </c>
      <c r="G144" s="28">
        <f>ROUND(D144*F144,0)</f>
        <v/>
      </c>
      <c r="H144" s="27" t="inlineStr">
        <is>
          <t>区分表</t>
        </is>
      </c>
      <c r="I144" s="29" t="inlineStr">
        <is>
          <t>13 電気設備工事</t>
        </is>
      </c>
    </row>
    <row r="145">
      <c r="A145" s="26" t="n">
        <v>24</v>
      </c>
      <c r="B145" s="27" t="inlineStr">
        <is>
          <t>弱電空配管（POS/TEL/FAX/LAN）</t>
        </is>
      </c>
      <c r="C145" s="27" t="inlineStr">
        <is>
          <t>アウトレット・プルボックス</t>
        </is>
      </c>
      <c r="D145" s="28" t="n">
        <v>20</v>
      </c>
      <c r="E145" s="26" t="inlineStr">
        <is>
          <t>箇所</t>
        </is>
      </c>
      <c r="F145" s="28" t="n">
        <v>14000</v>
      </c>
      <c r="G145" s="28">
        <f>ROUND(D145*F145,0)</f>
        <v/>
      </c>
      <c r="H145" s="27" t="inlineStr">
        <is>
          <t>照明器具表</t>
        </is>
      </c>
      <c r="I145" s="29" t="inlineStr">
        <is>
          <t>13 電気設備工事</t>
        </is>
      </c>
    </row>
    <row r="146">
      <c r="A146" s="26" t="n">
        <v>25</v>
      </c>
      <c r="B146" s="27" t="inlineStr">
        <is>
          <t>換気扇 EF-1 電源・スイッチ</t>
        </is>
      </c>
      <c r="C146" s="27" t="inlineStr">
        <is>
          <t>店長室 1φ100V</t>
        </is>
      </c>
      <c r="D146" s="28" t="n">
        <v>1</v>
      </c>
      <c r="E146" s="26" t="inlineStr">
        <is>
          <t>式</t>
        </is>
      </c>
      <c r="F146" s="28" t="n">
        <v>25000</v>
      </c>
      <c r="G146" s="28">
        <f>ROUND(D146*F146,0)</f>
        <v/>
      </c>
      <c r="H146" s="27" t="inlineStr">
        <is>
          <t>換気仕様書</t>
        </is>
      </c>
      <c r="I146" s="29" t="inlineStr">
        <is>
          <t>13 電気設備工事</t>
        </is>
      </c>
    </row>
    <row r="147">
      <c r="A147" s="26" t="n">
        <v>26</v>
      </c>
      <c r="B147" s="27" t="inlineStr">
        <is>
          <t>音響設備</t>
        </is>
      </c>
      <c r="C147" s="27" t="inlineStr">
        <is>
          <t>アンプ2台・天井SP10・吊下SP2・BOH SP・音量調整器・マイク</t>
        </is>
      </c>
      <c r="D147" s="28" t="n">
        <v>1</v>
      </c>
      <c r="E147" s="26" t="inlineStr">
        <is>
          <t>式</t>
        </is>
      </c>
      <c r="F147" s="28" t="n">
        <v>980000</v>
      </c>
      <c r="G147" s="28">
        <f>ROUND(D147*F147,0)</f>
        <v/>
      </c>
      <c r="H147" s="27" t="inlineStr">
        <is>
          <t>AV機器配置図</t>
        </is>
      </c>
      <c r="I147" s="29" t="inlineStr">
        <is>
          <t>13 電気設備工事</t>
        </is>
      </c>
    </row>
    <row r="148">
      <c r="A148" s="26" t="n">
        <v>27</v>
      </c>
      <c r="B148" s="27" t="inlineStr">
        <is>
          <t>防犯（ダミーカメラ）</t>
        </is>
      </c>
      <c r="C148" s="27" t="inlineStr">
        <is>
          <t>SCB-4100D+取付台</t>
        </is>
      </c>
      <c r="D148" s="28" t="n">
        <v>8</v>
      </c>
      <c r="E148" s="26" t="inlineStr">
        <is>
          <t>台</t>
        </is>
      </c>
      <c r="F148" s="28" t="n">
        <v>9000</v>
      </c>
      <c r="G148" s="28">
        <f>ROUND(D148*F148,0)</f>
        <v/>
      </c>
      <c r="H148" s="27" t="inlineStr">
        <is>
          <t>AV機器配置図</t>
        </is>
      </c>
      <c r="I148" s="29" t="inlineStr">
        <is>
          <t>13 電気設備工事</t>
        </is>
      </c>
    </row>
    <row r="149">
      <c r="A149" s="26" t="n">
        <v>28</v>
      </c>
      <c r="B149" s="27" t="inlineStr">
        <is>
          <t>試験調整・絶縁抵抗測定</t>
        </is>
      </c>
      <c r="C149" s="27" t="inlineStr">
        <is>
          <t>様式-20 提出</t>
        </is>
      </c>
      <c r="D149" s="28" t="n">
        <v>1</v>
      </c>
      <c r="E149" s="26" t="inlineStr">
        <is>
          <t>式</t>
        </is>
      </c>
      <c r="F149" s="28" t="n">
        <v>80000</v>
      </c>
      <c r="G149" s="28">
        <f>ROUND(D149*F149,0)</f>
        <v/>
      </c>
      <c r="H149" s="27" t="inlineStr">
        <is>
          <t>施工指針書 11-3</t>
        </is>
      </c>
      <c r="I149" s="29" t="inlineStr">
        <is>
          <t>13 電気設備工事</t>
        </is>
      </c>
    </row>
    <row r="150">
      <c r="A150" s="30" t="n"/>
      <c r="B150" s="31" t="inlineStr">
        <is>
          <t>電気設備工事 小計</t>
        </is>
      </c>
      <c r="C150" s="30" t="n"/>
      <c r="D150" s="30" t="n"/>
      <c r="E150" s="30" t="n"/>
      <c r="F150" s="30" t="n"/>
      <c r="G150" s="32">
        <f>SUM(G122:G149)</f>
        <v/>
      </c>
      <c r="H150" s="30" t="n"/>
    </row>
  </sheetData>
  <mergeCells count="13">
    <mergeCell ref="A77:H77"/>
    <mergeCell ref="A86:H86"/>
    <mergeCell ref="A109:H109"/>
    <mergeCell ref="A65:H65"/>
    <mergeCell ref="A54:H54"/>
    <mergeCell ref="A121:H121"/>
    <mergeCell ref="A103:H103"/>
    <mergeCell ref="A41:H41"/>
    <mergeCell ref="A33:H33"/>
    <mergeCell ref="A5:H5"/>
    <mergeCell ref="A61:H61"/>
    <mergeCell ref="A22:H22"/>
    <mergeCell ref="A17:H17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6" customWidth="1" min="3" max="3"/>
    <col width="70" customWidth="1" min="4" max="4"/>
  </cols>
  <sheetData>
    <row r="1">
      <c r="A1" s="13" t="inlineStr">
        <is>
          <t>数量拾い根拠（図面より）</t>
        </is>
      </c>
    </row>
    <row r="3">
      <c r="A3" s="34" t="inlineStr">
        <is>
          <t>項目</t>
        </is>
      </c>
      <c r="B3" s="34" t="inlineStr">
        <is>
          <t>数量</t>
        </is>
      </c>
      <c r="C3" s="34" t="inlineStr">
        <is>
          <t>単位</t>
        </is>
      </c>
      <c r="D3" s="34" t="inlineStr">
        <is>
          <t>出典・算出</t>
        </is>
      </c>
    </row>
    <row r="4">
      <c r="A4" s="16" t="inlineStr">
        <is>
          <t>区画面積（照明器具表 記載床面積）</t>
        </is>
      </c>
      <c r="B4" s="35" t="n">
        <v>1064</v>
      </c>
      <c r="C4" s="16" t="inlineStr">
        <is>
          <t>㎡</t>
        </is>
      </c>
      <c r="D4" s="16" t="inlineStr">
        <is>
          <t>照明器具表「床面積 1064.0㎡」</t>
        </is>
      </c>
    </row>
    <row r="5">
      <c r="A5" s="16" t="inlineStr">
        <is>
          <t>BOH合計（試着室含む）</t>
        </is>
      </c>
      <c r="B5" s="35" t="n">
        <v>208.9</v>
      </c>
      <c r="C5" s="16" t="inlineStr">
        <is>
          <t>㎡</t>
        </is>
      </c>
      <c r="D5" s="16" t="inlineStr">
        <is>
          <t>フロアマップ BOH/TOTAL AREA 208.9㎡</t>
        </is>
      </c>
    </row>
    <row r="6">
      <c r="A6" s="16" t="inlineStr">
        <is>
          <t xml:space="preserve">　うち 試着室(FR)</t>
        </is>
      </c>
      <c r="B6" s="35" t="n">
        <v>36</v>
      </c>
      <c r="C6" s="16" t="inlineStr">
        <is>
          <t>㎡</t>
        </is>
      </c>
      <c r="D6" s="16" t="inlineStr">
        <is>
          <t>フロアマップ</t>
        </is>
      </c>
    </row>
    <row r="7">
      <c r="A7" s="16" t="inlineStr">
        <is>
          <t xml:space="preserve">　うち バックルーム5室計</t>
        </is>
      </c>
      <c r="B7" s="35" t="n">
        <v>173.1</v>
      </c>
      <c r="C7" s="16" t="inlineStr">
        <is>
          <t>㎡</t>
        </is>
      </c>
      <c r="D7" s="16" t="inlineStr">
        <is>
          <t>補正室15.8+倉庫94.4+備品庫17.9+休憩室35.5+店長室9.5</t>
        </is>
      </c>
    </row>
    <row r="8">
      <c r="A8" s="16" t="inlineStr">
        <is>
          <t>売場（レジ・SW含む）</t>
        </is>
      </c>
      <c r="B8" s="35" t="n">
        <v>855.1</v>
      </c>
      <c r="C8" s="16" t="inlineStr">
        <is>
          <t>㎡</t>
        </is>
      </c>
      <c r="D8" s="16" t="inlineStr">
        <is>
          <t>1064.0−208.9</t>
        </is>
      </c>
    </row>
    <row r="9">
      <c r="A9" s="16" t="inlineStr">
        <is>
          <t xml:space="preserve">　うち レジエリア</t>
        </is>
      </c>
      <c r="B9" s="35" t="n">
        <v>66.8</v>
      </c>
      <c r="C9" s="16" t="inlineStr">
        <is>
          <t>㎡</t>
        </is>
      </c>
      <c r="D9" s="16" t="inlineStr">
        <is>
          <t>フロアマップ</t>
        </is>
      </c>
    </row>
    <row r="10">
      <c r="A10" s="16" t="inlineStr">
        <is>
          <t xml:space="preserve">　うち ショーウィンドウ</t>
        </is>
      </c>
      <c r="B10" s="35" t="n">
        <v>21.6</v>
      </c>
      <c r="C10" s="16" t="inlineStr">
        <is>
          <t>㎡</t>
        </is>
      </c>
      <c r="D10" s="16" t="inlineStr">
        <is>
          <t>フロアマップ</t>
        </is>
      </c>
    </row>
    <row r="11">
      <c r="A11" s="16" t="inlineStr">
        <is>
          <t>天井高 CH</t>
        </is>
      </c>
      <c r="B11" s="35" t="n">
        <v>3750</v>
      </c>
      <c r="C11" s="16" t="inlineStr">
        <is>
          <t>mm</t>
        </is>
      </c>
      <c r="D11" s="16" t="inlineStr">
        <is>
          <t>各図 2413区画 CH=3750</t>
        </is>
      </c>
    </row>
    <row r="12">
      <c r="A12" s="16" t="inlineStr">
        <is>
          <t>ファサード長さ</t>
        </is>
      </c>
      <c r="B12" s="35" t="n">
        <v>20.8</v>
      </c>
      <c r="C12" s="16" t="inlineStr">
        <is>
          <t>m</t>
        </is>
      </c>
      <c r="D12" s="16" t="inlineStr">
        <is>
          <t>ファサードボーダー重量計算 6.790+7.283+6.745</t>
        </is>
      </c>
    </row>
    <row r="13">
      <c r="A13" s="16" t="inlineStr">
        <is>
          <t>外周C工事壁 長さ（概算）</t>
        </is>
      </c>
      <c r="B13" s="35" t="n">
        <v>110</v>
      </c>
      <c r="C13" s="16" t="inlineStr">
        <is>
          <t>m</t>
        </is>
      </c>
      <c r="D13" s="16" t="inlineStr">
        <is>
          <t>通り芯X17〜X21 8500×4=34m、奥行≒1064/34=31.3m→周長130.6m−ファサード20.8m（要実測）</t>
        </is>
      </c>
    </row>
    <row r="14">
      <c r="A14" s="16" t="inlineStr">
        <is>
          <t>BOH間仕切 長さ（概算）</t>
        </is>
      </c>
      <c r="B14" s="35" t="n">
        <v>75</v>
      </c>
      <c r="C14" s="16" t="inlineStr">
        <is>
          <t>m</t>
        </is>
      </c>
      <c r="D14" s="16" t="inlineStr">
        <is>
          <t>平面図より概算（要拾い直し）</t>
        </is>
      </c>
    </row>
    <row r="15">
      <c r="A15" s="16" t="inlineStr">
        <is>
          <t>ダウンライト BD1〜BD6</t>
        </is>
      </c>
      <c r="B15" s="35" t="n">
        <v>262</v>
      </c>
      <c r="C15" s="16" t="inlineStr">
        <is>
          <t>台</t>
        </is>
      </c>
      <c r="D15" s="16" t="inlineStr">
        <is>
          <t>照明器具表 総数量</t>
        </is>
      </c>
    </row>
    <row r="16">
      <c r="A16" s="16" t="inlineStr">
        <is>
          <t>ユニバーサルDL UD6〜UD8</t>
        </is>
      </c>
      <c r="B16" s="35" t="n">
        <v>134</v>
      </c>
      <c r="C16" s="16" t="inlineStr">
        <is>
          <t>台</t>
        </is>
      </c>
      <c r="D16" s="16" t="inlineStr">
        <is>
          <t>照明器具表 総数量</t>
        </is>
      </c>
    </row>
    <row r="17">
      <c r="A17" s="16" t="inlineStr">
        <is>
          <t>ベースライト BL1/BL2</t>
        </is>
      </c>
      <c r="B17" s="35" t="n">
        <v>13</v>
      </c>
      <c r="C17" s="16" t="inlineStr">
        <is>
          <t>台</t>
        </is>
      </c>
      <c r="D17" s="16" t="inlineStr">
        <is>
          <t>照明器具表 総数量</t>
        </is>
      </c>
    </row>
    <row r="18">
      <c r="A18" s="16" t="inlineStr">
        <is>
          <t>スポットライト SP1/SP2</t>
        </is>
      </c>
      <c r="B18" s="35" t="n">
        <v>28</v>
      </c>
      <c r="C18" s="16" t="inlineStr">
        <is>
          <t>台</t>
        </is>
      </c>
      <c r="D18" s="16" t="inlineStr">
        <is>
          <t>照明器具表 総数量</t>
        </is>
      </c>
    </row>
    <row r="19">
      <c r="A19" s="16" t="inlineStr">
        <is>
          <t>ダブルコンセント</t>
        </is>
      </c>
      <c r="B19" s="35" t="n">
        <v>41</v>
      </c>
      <c r="C19" s="16" t="inlineStr">
        <is>
          <t>個</t>
        </is>
      </c>
      <c r="D19" s="16" t="inlineStr">
        <is>
          <t>照明器具表 コンセント欄</t>
        </is>
      </c>
    </row>
    <row r="20">
      <c r="A20" s="16" t="inlineStr">
        <is>
          <t>抜け止め接地付ダブルコンセント</t>
        </is>
      </c>
      <c r="B20" s="35" t="n">
        <v>42</v>
      </c>
      <c r="C20" s="16" t="inlineStr">
        <is>
          <t>個</t>
        </is>
      </c>
      <c r="D20" s="16" t="inlineStr">
        <is>
          <t>照明器具表 コンセント欄</t>
        </is>
      </c>
    </row>
    <row r="21">
      <c r="A21" s="16" t="inlineStr">
        <is>
          <t>POS/TEL/FAX アウトレット</t>
        </is>
      </c>
      <c r="B21" s="35" t="n">
        <v>20</v>
      </c>
      <c r="C21" s="16" t="inlineStr">
        <is>
          <t>個</t>
        </is>
      </c>
      <c r="D21" s="16" t="inlineStr">
        <is>
          <t>照明器具表 コンセント欄</t>
        </is>
      </c>
    </row>
    <row r="22">
      <c r="A22" s="16" t="inlineStr">
        <is>
          <t>テナント分電盤</t>
        </is>
      </c>
      <c r="B22" s="35" t="n">
        <v>2</v>
      </c>
      <c r="C22" s="16" t="inlineStr">
        <is>
          <t>面</t>
        </is>
      </c>
      <c r="D22" s="16" t="inlineStr">
        <is>
          <t>盤図 U54836 電灯盤-1（200AT）・電灯盤-2（175AT）</t>
        </is>
      </c>
    </row>
    <row r="24">
      <c r="A24" s="10" t="inlineStr">
        <is>
          <t>参照図面</t>
        </is>
      </c>
    </row>
    <row r="25">
      <c r="A25" s="36" t="inlineStr">
        <is>
          <t>・※一式.pdf（施工図一式：仕上表・平面図・建具表・照明器具表・機械仕様書・各詳細図）</t>
        </is>
      </c>
    </row>
    <row r="26">
      <c r="A26" s="36" t="inlineStr">
        <is>
          <t>・製作図_GUららぽーと富士見店修正盤図(210108).pdf（河村電器 電灯盤-1/-2）</t>
        </is>
      </c>
    </row>
    <row r="27">
      <c r="A27" s="36" t="inlineStr">
        <is>
          <t>・【L1】LPFJ_2413号室区分表.pdf（A/B/C工事区分）</t>
        </is>
      </c>
    </row>
    <row r="28">
      <c r="A28" s="36" t="inlineStr">
        <is>
          <t>・LPFJ_RN2021【施工指針書一式】20210108.pdf（作業時間・搬入ルール）</t>
        </is>
      </c>
    </row>
    <row r="29">
      <c r="A29" s="36" t="inlineStr">
        <is>
          <t>・内装設計指針書.pdf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W37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4" customWidth="1" min="2" max="2"/>
    <col width="6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</cols>
  <sheetData>
    <row r="1">
      <c r="A1" s="13" t="inlineStr">
        <is>
          <t>施工工程表（C工事・夜間 22:00〜07:00）</t>
        </is>
      </c>
    </row>
    <row r="2">
      <c r="A2" s="36" t="inlineStr">
        <is>
          <t>工事名称：GU ららぽーと富士見店（2413区画）　着工 2027/01/12（夜）〜 2027/02/26　40夜　※日付は作業開始夜の日付、日曜夜休み</t>
        </is>
      </c>
    </row>
    <row r="4">
      <c r="D4" s="37" t="inlineStr">
        <is>
          <t>1/12</t>
        </is>
      </c>
      <c r="E4" s="37" t="inlineStr"/>
      <c r="F4" s="37" t="inlineStr"/>
      <c r="G4" s="37" t="inlineStr"/>
      <c r="H4" s="37" t="inlineStr"/>
      <c r="I4" s="37" t="inlineStr"/>
      <c r="J4" s="37" t="inlineStr">
        <is>
          <t>1/18</t>
        </is>
      </c>
      <c r="K4" s="37" t="inlineStr"/>
      <c r="L4" s="37" t="inlineStr"/>
      <c r="M4" s="37" t="inlineStr"/>
      <c r="N4" s="37" t="inlineStr"/>
      <c r="O4" s="37" t="inlineStr"/>
      <c r="P4" s="37" t="inlineStr"/>
      <c r="Q4" s="37" t="inlineStr">
        <is>
          <t>1/25</t>
        </is>
      </c>
      <c r="R4" s="37" t="inlineStr"/>
      <c r="S4" s="37" t="inlineStr"/>
      <c r="T4" s="37" t="inlineStr"/>
      <c r="U4" s="37" t="inlineStr"/>
      <c r="V4" s="37" t="inlineStr"/>
      <c r="W4" s="37" t="inlineStr"/>
      <c r="X4" s="37" t="inlineStr">
        <is>
          <t>2/1</t>
        </is>
      </c>
      <c r="Y4" s="37" t="inlineStr"/>
      <c r="Z4" s="37" t="inlineStr"/>
      <c r="AA4" s="37" t="inlineStr"/>
      <c r="AB4" s="37" t="inlineStr"/>
      <c r="AC4" s="37" t="inlineStr"/>
      <c r="AD4" s="37" t="inlineStr"/>
      <c r="AE4" s="37" t="inlineStr">
        <is>
          <t>2/8</t>
        </is>
      </c>
      <c r="AF4" s="37" t="inlineStr"/>
      <c r="AG4" s="37" t="inlineStr"/>
      <c r="AH4" s="37" t="inlineStr"/>
      <c r="AI4" s="37" t="inlineStr"/>
      <c r="AJ4" s="37" t="inlineStr"/>
      <c r="AK4" s="37" t="inlineStr"/>
      <c r="AL4" s="37" t="inlineStr">
        <is>
          <t>2/15</t>
        </is>
      </c>
      <c r="AM4" s="37" t="inlineStr"/>
      <c r="AN4" s="37" t="inlineStr"/>
      <c r="AO4" s="37" t="inlineStr"/>
      <c r="AP4" s="37" t="inlineStr"/>
      <c r="AQ4" s="37" t="inlineStr"/>
      <c r="AR4" s="37" t="inlineStr"/>
      <c r="AS4" s="37" t="inlineStr">
        <is>
          <t>2/22</t>
        </is>
      </c>
      <c r="AT4" s="37" t="inlineStr"/>
      <c r="AU4" s="37" t="inlineStr"/>
      <c r="AV4" s="37" t="inlineStr"/>
      <c r="AW4" s="37" t="inlineStr"/>
    </row>
    <row r="5">
      <c r="C5" s="38" t="inlineStr">
        <is>
          <t>日</t>
        </is>
      </c>
      <c r="D5" s="39" t="n">
        <v>12</v>
      </c>
      <c r="E5" s="39" t="n">
        <v>13</v>
      </c>
      <c r="F5" s="39" t="n">
        <v>14</v>
      </c>
      <c r="G5" s="39" t="n">
        <v>15</v>
      </c>
      <c r="H5" s="39" t="n">
        <v>16</v>
      </c>
      <c r="I5" s="40" t="n">
        <v>17</v>
      </c>
      <c r="J5" s="39" t="n">
        <v>18</v>
      </c>
      <c r="K5" s="39" t="n">
        <v>19</v>
      </c>
      <c r="L5" s="39" t="n">
        <v>20</v>
      </c>
      <c r="M5" s="39" t="n">
        <v>21</v>
      </c>
      <c r="N5" s="39" t="n">
        <v>22</v>
      </c>
      <c r="O5" s="39" t="n">
        <v>23</v>
      </c>
      <c r="P5" s="40" t="n">
        <v>24</v>
      </c>
      <c r="Q5" s="39" t="n">
        <v>25</v>
      </c>
      <c r="R5" s="39" t="n">
        <v>26</v>
      </c>
      <c r="S5" s="39" t="n">
        <v>27</v>
      </c>
      <c r="T5" s="39" t="n">
        <v>28</v>
      </c>
      <c r="U5" s="39" t="n">
        <v>29</v>
      </c>
      <c r="V5" s="39" t="n">
        <v>30</v>
      </c>
      <c r="W5" s="40" t="n">
        <v>31</v>
      </c>
      <c r="X5" s="39" t="n">
        <v>1</v>
      </c>
      <c r="Y5" s="39" t="n">
        <v>2</v>
      </c>
      <c r="Z5" s="39" t="n">
        <v>3</v>
      </c>
      <c r="AA5" s="39" t="n">
        <v>4</v>
      </c>
      <c r="AB5" s="39" t="n">
        <v>5</v>
      </c>
      <c r="AC5" s="39" t="n">
        <v>6</v>
      </c>
      <c r="AD5" s="40" t="n">
        <v>7</v>
      </c>
      <c r="AE5" s="39" t="n">
        <v>8</v>
      </c>
      <c r="AF5" s="39" t="n">
        <v>9</v>
      </c>
      <c r="AG5" s="39" t="n">
        <v>10</v>
      </c>
      <c r="AH5" s="39" t="n">
        <v>11</v>
      </c>
      <c r="AI5" s="39" t="n">
        <v>12</v>
      </c>
      <c r="AJ5" s="39" t="n">
        <v>13</v>
      </c>
      <c r="AK5" s="40" t="n">
        <v>14</v>
      </c>
      <c r="AL5" s="39" t="n">
        <v>15</v>
      </c>
      <c r="AM5" s="39" t="n">
        <v>16</v>
      </c>
      <c r="AN5" s="39" t="n">
        <v>17</v>
      </c>
      <c r="AO5" s="39" t="n">
        <v>18</v>
      </c>
      <c r="AP5" s="39" t="n">
        <v>19</v>
      </c>
      <c r="AQ5" s="39" t="n">
        <v>20</v>
      </c>
      <c r="AR5" s="40" t="n">
        <v>21</v>
      </c>
      <c r="AS5" s="39" t="n">
        <v>22</v>
      </c>
      <c r="AT5" s="39" t="n">
        <v>23</v>
      </c>
      <c r="AU5" s="39" t="n">
        <v>24</v>
      </c>
      <c r="AV5" s="39" t="n">
        <v>25</v>
      </c>
      <c r="AW5" s="39" t="n">
        <v>26</v>
      </c>
    </row>
    <row r="6">
      <c r="C6" s="38" t="inlineStr">
        <is>
          <t>曜</t>
        </is>
      </c>
      <c r="D6" s="39" t="inlineStr">
        <is>
          <t>火</t>
        </is>
      </c>
      <c r="E6" s="39" t="inlineStr">
        <is>
          <t>水</t>
        </is>
      </c>
      <c r="F6" s="39" t="inlineStr">
        <is>
          <t>木</t>
        </is>
      </c>
      <c r="G6" s="39" t="inlineStr">
        <is>
          <t>金</t>
        </is>
      </c>
      <c r="H6" s="39" t="inlineStr">
        <is>
          <t>土</t>
        </is>
      </c>
      <c r="I6" s="40" t="inlineStr">
        <is>
          <t>日</t>
        </is>
      </c>
      <c r="J6" s="39" t="inlineStr">
        <is>
          <t>月</t>
        </is>
      </c>
      <c r="K6" s="39" t="inlineStr">
        <is>
          <t>火</t>
        </is>
      </c>
      <c r="L6" s="39" t="inlineStr">
        <is>
          <t>水</t>
        </is>
      </c>
      <c r="M6" s="39" t="inlineStr">
        <is>
          <t>木</t>
        </is>
      </c>
      <c r="N6" s="39" t="inlineStr">
        <is>
          <t>金</t>
        </is>
      </c>
      <c r="O6" s="39" t="inlineStr">
        <is>
          <t>土</t>
        </is>
      </c>
      <c r="P6" s="40" t="inlineStr">
        <is>
          <t>日</t>
        </is>
      </c>
      <c r="Q6" s="39" t="inlineStr">
        <is>
          <t>月</t>
        </is>
      </c>
      <c r="R6" s="39" t="inlineStr">
        <is>
          <t>火</t>
        </is>
      </c>
      <c r="S6" s="39" t="inlineStr">
        <is>
          <t>水</t>
        </is>
      </c>
      <c r="T6" s="39" t="inlineStr">
        <is>
          <t>木</t>
        </is>
      </c>
      <c r="U6" s="39" t="inlineStr">
        <is>
          <t>金</t>
        </is>
      </c>
      <c r="V6" s="39" t="inlineStr">
        <is>
          <t>土</t>
        </is>
      </c>
      <c r="W6" s="40" t="inlineStr">
        <is>
          <t>日</t>
        </is>
      </c>
      <c r="X6" s="39" t="inlineStr">
        <is>
          <t>月</t>
        </is>
      </c>
      <c r="Y6" s="39" t="inlineStr">
        <is>
          <t>火</t>
        </is>
      </c>
      <c r="Z6" s="39" t="inlineStr">
        <is>
          <t>水</t>
        </is>
      </c>
      <c r="AA6" s="39" t="inlineStr">
        <is>
          <t>木</t>
        </is>
      </c>
      <c r="AB6" s="39" t="inlineStr">
        <is>
          <t>金</t>
        </is>
      </c>
      <c r="AC6" s="39" t="inlineStr">
        <is>
          <t>土</t>
        </is>
      </c>
      <c r="AD6" s="40" t="inlineStr">
        <is>
          <t>日</t>
        </is>
      </c>
      <c r="AE6" s="39" t="inlineStr">
        <is>
          <t>月</t>
        </is>
      </c>
      <c r="AF6" s="39" t="inlineStr">
        <is>
          <t>火</t>
        </is>
      </c>
      <c r="AG6" s="39" t="inlineStr">
        <is>
          <t>水</t>
        </is>
      </c>
      <c r="AH6" s="39" t="inlineStr">
        <is>
          <t>木</t>
        </is>
      </c>
      <c r="AI6" s="39" t="inlineStr">
        <is>
          <t>金</t>
        </is>
      </c>
      <c r="AJ6" s="39" t="inlineStr">
        <is>
          <t>土</t>
        </is>
      </c>
      <c r="AK6" s="40" t="inlineStr">
        <is>
          <t>日</t>
        </is>
      </c>
      <c r="AL6" s="39" t="inlineStr">
        <is>
          <t>月</t>
        </is>
      </c>
      <c r="AM6" s="39" t="inlineStr">
        <is>
          <t>火</t>
        </is>
      </c>
      <c r="AN6" s="39" t="inlineStr">
        <is>
          <t>水</t>
        </is>
      </c>
      <c r="AO6" s="39" t="inlineStr">
        <is>
          <t>木</t>
        </is>
      </c>
      <c r="AP6" s="39" t="inlineStr">
        <is>
          <t>金</t>
        </is>
      </c>
      <c r="AQ6" s="39" t="inlineStr">
        <is>
          <t>土</t>
        </is>
      </c>
      <c r="AR6" s="40" t="inlineStr">
        <is>
          <t>日</t>
        </is>
      </c>
      <c r="AS6" s="39" t="inlineStr">
        <is>
          <t>月</t>
        </is>
      </c>
      <c r="AT6" s="39" t="inlineStr">
        <is>
          <t>火</t>
        </is>
      </c>
      <c r="AU6" s="39" t="inlineStr">
        <is>
          <t>水</t>
        </is>
      </c>
      <c r="AV6" s="39" t="inlineStr">
        <is>
          <t>木</t>
        </is>
      </c>
      <c r="AW6" s="39" t="inlineStr">
        <is>
          <t>金</t>
        </is>
      </c>
    </row>
    <row r="7">
      <c r="A7" s="41" t="inlineStr">
        <is>
          <t>No</t>
        </is>
      </c>
      <c r="B7" s="41" t="inlineStr">
        <is>
          <t>工種・作業内容</t>
        </is>
      </c>
      <c r="C7" s="38" t="inlineStr">
        <is>
          <t>夜</t>
        </is>
      </c>
      <c r="D7" s="39" t="n">
        <v>1</v>
      </c>
      <c r="E7" s="39" t="n">
        <v>2</v>
      </c>
      <c r="F7" s="39" t="n">
        <v>3</v>
      </c>
      <c r="G7" s="39" t="n">
        <v>4</v>
      </c>
      <c r="H7" s="39" t="n">
        <v>5</v>
      </c>
      <c r="I7" s="40" t="inlineStr">
        <is>
          <t>休</t>
        </is>
      </c>
      <c r="J7" s="39" t="n">
        <v>6</v>
      </c>
      <c r="K7" s="39" t="n">
        <v>7</v>
      </c>
      <c r="L7" s="39" t="n">
        <v>8</v>
      </c>
      <c r="M7" s="39" t="n">
        <v>9</v>
      </c>
      <c r="N7" s="39" t="n">
        <v>10</v>
      </c>
      <c r="O7" s="39" t="n">
        <v>11</v>
      </c>
      <c r="P7" s="40" t="inlineStr">
        <is>
          <t>休</t>
        </is>
      </c>
      <c r="Q7" s="39" t="n">
        <v>12</v>
      </c>
      <c r="R7" s="39" t="n">
        <v>13</v>
      </c>
      <c r="S7" s="39" t="n">
        <v>14</v>
      </c>
      <c r="T7" s="39" t="n">
        <v>15</v>
      </c>
      <c r="U7" s="39" t="n">
        <v>16</v>
      </c>
      <c r="V7" s="39" t="n">
        <v>17</v>
      </c>
      <c r="W7" s="40" t="inlineStr">
        <is>
          <t>休</t>
        </is>
      </c>
      <c r="X7" s="39" t="n">
        <v>18</v>
      </c>
      <c r="Y7" s="39" t="n">
        <v>19</v>
      </c>
      <c r="Z7" s="39" t="n">
        <v>20</v>
      </c>
      <c r="AA7" s="39" t="n">
        <v>21</v>
      </c>
      <c r="AB7" s="39" t="n">
        <v>22</v>
      </c>
      <c r="AC7" s="39" t="n">
        <v>23</v>
      </c>
      <c r="AD7" s="40" t="inlineStr">
        <is>
          <t>休</t>
        </is>
      </c>
      <c r="AE7" s="39" t="n">
        <v>24</v>
      </c>
      <c r="AF7" s="39" t="n">
        <v>25</v>
      </c>
      <c r="AG7" s="39" t="n">
        <v>26</v>
      </c>
      <c r="AH7" s="39" t="n">
        <v>27</v>
      </c>
      <c r="AI7" s="39" t="n">
        <v>28</v>
      </c>
      <c r="AJ7" s="39" t="n">
        <v>29</v>
      </c>
      <c r="AK7" s="40" t="inlineStr">
        <is>
          <t>休</t>
        </is>
      </c>
      <c r="AL7" s="39" t="n">
        <v>30</v>
      </c>
      <c r="AM7" s="39" t="n">
        <v>31</v>
      </c>
      <c r="AN7" s="39" t="n">
        <v>32</v>
      </c>
      <c r="AO7" s="39" t="n">
        <v>33</v>
      </c>
      <c r="AP7" s="39" t="n">
        <v>34</v>
      </c>
      <c r="AQ7" s="39" t="n">
        <v>35</v>
      </c>
      <c r="AR7" s="40" t="inlineStr">
        <is>
          <t>休</t>
        </is>
      </c>
      <c r="AS7" s="39" t="n">
        <v>36</v>
      </c>
      <c r="AT7" s="39" t="n">
        <v>37</v>
      </c>
      <c r="AU7" s="39" t="n">
        <v>38</v>
      </c>
      <c r="AV7" s="39" t="n">
        <v>39</v>
      </c>
      <c r="AW7" s="39" t="n">
        <v>40</v>
      </c>
    </row>
    <row r="8">
      <c r="A8" s="42" t="n">
        <v>1</v>
      </c>
      <c r="B8" s="42" t="inlineStr">
        <is>
          <t>A・B工事引渡し確認・墨出し・養生</t>
        </is>
      </c>
      <c r="C8" s="42" t="n">
        <v>2</v>
      </c>
      <c r="D8" s="43" t="n"/>
      <c r="E8" s="43" t="n"/>
      <c r="F8" s="25" t="n"/>
      <c r="G8" s="25" t="n"/>
      <c r="H8" s="25" t="n"/>
      <c r="I8" s="44" t="n"/>
      <c r="J8" s="25" t="n"/>
      <c r="K8" s="25" t="n"/>
      <c r="L8" s="25" t="n"/>
      <c r="M8" s="25" t="n"/>
      <c r="N8" s="25" t="n"/>
      <c r="O8" s="25" t="n"/>
      <c r="P8" s="44" t="n"/>
      <c r="Q8" s="25" t="n"/>
      <c r="R8" s="25" t="n"/>
      <c r="S8" s="25" t="n"/>
      <c r="T8" s="25" t="n"/>
      <c r="U8" s="25" t="n"/>
      <c r="V8" s="25" t="n"/>
      <c r="W8" s="44" t="n"/>
      <c r="X8" s="25" t="n"/>
      <c r="Y8" s="25" t="n"/>
      <c r="Z8" s="25" t="n"/>
      <c r="AA8" s="25" t="n"/>
      <c r="AB8" s="25" t="n"/>
      <c r="AC8" s="25" t="n"/>
      <c r="AD8" s="44" t="n"/>
      <c r="AE8" s="25" t="n"/>
      <c r="AF8" s="25" t="n"/>
      <c r="AG8" s="25" t="n"/>
      <c r="AH8" s="25" t="n"/>
      <c r="AI8" s="25" t="n"/>
      <c r="AJ8" s="25" t="n"/>
      <c r="AK8" s="44" t="n"/>
      <c r="AL8" s="25" t="n"/>
      <c r="AM8" s="25" t="n"/>
      <c r="AN8" s="25" t="n"/>
      <c r="AO8" s="25" t="n"/>
      <c r="AP8" s="25" t="n"/>
      <c r="AQ8" s="25" t="n"/>
      <c r="AR8" s="44" t="n"/>
      <c r="AS8" s="25" t="n"/>
      <c r="AT8" s="25" t="n"/>
      <c r="AU8" s="25" t="n"/>
      <c r="AV8" s="25" t="n"/>
      <c r="AW8" s="25" t="n"/>
    </row>
    <row r="9">
      <c r="A9" s="42" t="n">
        <v>2</v>
      </c>
      <c r="B9" s="42" t="inlineStr">
        <is>
          <t>撤去（店頭サッシ・既存残置物）</t>
        </is>
      </c>
      <c r="C9" s="42" t="n">
        <v>4</v>
      </c>
      <c r="D9" s="25" t="n"/>
      <c r="E9" s="43" t="n"/>
      <c r="F9" s="43" t="n"/>
      <c r="G9" s="43" t="n"/>
      <c r="H9" s="43" t="n"/>
      <c r="I9" s="44" t="n"/>
      <c r="J9" s="25" t="n"/>
      <c r="K9" s="25" t="n"/>
      <c r="L9" s="25" t="n"/>
      <c r="M9" s="25" t="n"/>
      <c r="N9" s="25" t="n"/>
      <c r="O9" s="25" t="n"/>
      <c r="P9" s="44" t="n"/>
      <c r="Q9" s="25" t="n"/>
      <c r="R9" s="25" t="n"/>
      <c r="S9" s="25" t="n"/>
      <c r="T9" s="25" t="n"/>
      <c r="U9" s="25" t="n"/>
      <c r="V9" s="25" t="n"/>
      <c r="W9" s="44" t="n"/>
      <c r="X9" s="25" t="n"/>
      <c r="Y9" s="25" t="n"/>
      <c r="Z9" s="25" t="n"/>
      <c r="AA9" s="25" t="n"/>
      <c r="AB9" s="25" t="n"/>
      <c r="AC9" s="25" t="n"/>
      <c r="AD9" s="44" t="n"/>
      <c r="AE9" s="25" t="n"/>
      <c r="AF9" s="25" t="n"/>
      <c r="AG9" s="25" t="n"/>
      <c r="AH9" s="25" t="n"/>
      <c r="AI9" s="25" t="n"/>
      <c r="AJ9" s="25" t="n"/>
      <c r="AK9" s="44" t="n"/>
      <c r="AL9" s="25" t="n"/>
      <c r="AM9" s="25" t="n"/>
      <c r="AN9" s="25" t="n"/>
      <c r="AO9" s="25" t="n"/>
      <c r="AP9" s="25" t="n"/>
      <c r="AQ9" s="25" t="n"/>
      <c r="AR9" s="44" t="n"/>
      <c r="AS9" s="25" t="n"/>
      <c r="AT9" s="25" t="n"/>
      <c r="AU9" s="25" t="n"/>
      <c r="AV9" s="25" t="n"/>
      <c r="AW9" s="25" t="n"/>
    </row>
    <row r="10">
      <c r="A10" s="42" t="n">
        <v>3</v>
      </c>
      <c r="B10" s="42" t="inlineStr">
        <is>
          <t>B工事：空調・防災・排煙SW 移設（指定業者）</t>
        </is>
      </c>
      <c r="C10" s="42" t="n">
        <v>12</v>
      </c>
      <c r="D10" s="25" t="n"/>
      <c r="E10" s="25" t="n"/>
      <c r="F10" s="45" t="n"/>
      <c r="G10" s="45" t="n"/>
      <c r="H10" s="45" t="n"/>
      <c r="I10" s="44" t="n"/>
      <c r="J10" s="45" t="n"/>
      <c r="K10" s="45" t="n"/>
      <c r="L10" s="45" t="n"/>
      <c r="M10" s="45" t="n"/>
      <c r="N10" s="45" t="n"/>
      <c r="O10" s="45" t="n"/>
      <c r="P10" s="44" t="n"/>
      <c r="Q10" s="45" t="n"/>
      <c r="R10" s="45" t="n"/>
      <c r="S10" s="45" t="n"/>
      <c r="T10" s="25" t="n"/>
      <c r="U10" s="25" t="n"/>
      <c r="V10" s="25" t="n"/>
      <c r="W10" s="44" t="n"/>
      <c r="X10" s="25" t="n"/>
      <c r="Y10" s="25" t="n"/>
      <c r="Z10" s="25" t="n"/>
      <c r="AA10" s="25" t="n"/>
      <c r="AB10" s="25" t="n"/>
      <c r="AC10" s="25" t="n"/>
      <c r="AD10" s="44" t="n"/>
      <c r="AE10" s="25" t="n"/>
      <c r="AF10" s="25" t="n"/>
      <c r="AG10" s="25" t="n"/>
      <c r="AH10" s="25" t="n"/>
      <c r="AI10" s="25" t="n"/>
      <c r="AJ10" s="25" t="n"/>
      <c r="AK10" s="44" t="n"/>
      <c r="AL10" s="25" t="n"/>
      <c r="AM10" s="25" t="n"/>
      <c r="AN10" s="25" t="n"/>
      <c r="AO10" s="25" t="n"/>
      <c r="AP10" s="25" t="n"/>
      <c r="AQ10" s="25" t="n"/>
      <c r="AR10" s="44" t="n"/>
      <c r="AS10" s="25" t="n"/>
      <c r="AT10" s="25" t="n"/>
      <c r="AU10" s="25" t="n"/>
      <c r="AV10" s="25" t="n"/>
      <c r="AW10" s="25" t="n"/>
    </row>
    <row r="11">
      <c r="A11" s="42" t="n">
        <v>4</v>
      </c>
      <c r="B11" s="42" t="inlineStr">
        <is>
          <t>電気：幹線・天井内配管配線・分電盤据付</t>
        </is>
      </c>
      <c r="C11" s="42" t="n">
        <v>12</v>
      </c>
      <c r="D11" s="25" t="n"/>
      <c r="E11" s="25" t="n"/>
      <c r="F11" s="43" t="n"/>
      <c r="G11" s="43" t="n"/>
      <c r="H11" s="43" t="n"/>
      <c r="I11" s="44" t="n"/>
      <c r="J11" s="43" t="n"/>
      <c r="K11" s="43" t="n"/>
      <c r="L11" s="43" t="n"/>
      <c r="M11" s="43" t="n"/>
      <c r="N11" s="43" t="n"/>
      <c r="O11" s="43" t="n"/>
      <c r="P11" s="44" t="n"/>
      <c r="Q11" s="43" t="n"/>
      <c r="R11" s="43" t="n"/>
      <c r="S11" s="43" t="n"/>
      <c r="T11" s="25" t="n"/>
      <c r="U11" s="25" t="n"/>
      <c r="V11" s="25" t="n"/>
      <c r="W11" s="44" t="n"/>
      <c r="X11" s="25" t="n"/>
      <c r="Y11" s="25" t="n"/>
      <c r="Z11" s="25" t="n"/>
      <c r="AA11" s="25" t="n"/>
      <c r="AB11" s="25" t="n"/>
      <c r="AC11" s="25" t="n"/>
      <c r="AD11" s="44" t="n"/>
      <c r="AE11" s="25" t="n"/>
      <c r="AF11" s="25" t="n"/>
      <c r="AG11" s="25" t="n"/>
      <c r="AH11" s="25" t="n"/>
      <c r="AI11" s="25" t="n"/>
      <c r="AJ11" s="25" t="n"/>
      <c r="AK11" s="44" t="n"/>
      <c r="AL11" s="25" t="n"/>
      <c r="AM11" s="25" t="n"/>
      <c r="AN11" s="25" t="n"/>
      <c r="AO11" s="25" t="n"/>
      <c r="AP11" s="25" t="n"/>
      <c r="AQ11" s="25" t="n"/>
      <c r="AR11" s="44" t="n"/>
      <c r="AS11" s="25" t="n"/>
      <c r="AT11" s="25" t="n"/>
      <c r="AU11" s="25" t="n"/>
      <c r="AV11" s="25" t="n"/>
      <c r="AW11" s="25" t="n"/>
    </row>
    <row r="12">
      <c r="A12" s="42" t="n">
        <v>5</v>
      </c>
      <c r="B12" s="42" t="inlineStr">
        <is>
          <t>LGS壁・間仕切下地／ファサード下地</t>
        </is>
      </c>
      <c r="C12" s="42" t="n">
        <v>10</v>
      </c>
      <c r="D12" s="25" t="n"/>
      <c r="E12" s="25" t="n"/>
      <c r="F12" s="25" t="n"/>
      <c r="G12" s="43" t="n"/>
      <c r="H12" s="43" t="n"/>
      <c r="I12" s="44" t="n"/>
      <c r="J12" s="43" t="n"/>
      <c r="K12" s="43" t="n"/>
      <c r="L12" s="43" t="n"/>
      <c r="M12" s="43" t="n"/>
      <c r="N12" s="43" t="n"/>
      <c r="O12" s="43" t="n"/>
      <c r="P12" s="44" t="n"/>
      <c r="Q12" s="43" t="n"/>
      <c r="R12" s="43" t="n"/>
      <c r="S12" s="25" t="n"/>
      <c r="T12" s="25" t="n"/>
      <c r="U12" s="25" t="n"/>
      <c r="V12" s="25" t="n"/>
      <c r="W12" s="44" t="n"/>
      <c r="X12" s="25" t="n"/>
      <c r="Y12" s="25" t="n"/>
      <c r="Z12" s="25" t="n"/>
      <c r="AA12" s="25" t="n"/>
      <c r="AB12" s="25" t="n"/>
      <c r="AC12" s="25" t="n"/>
      <c r="AD12" s="44" t="n"/>
      <c r="AE12" s="25" t="n"/>
      <c r="AF12" s="25" t="n"/>
      <c r="AG12" s="25" t="n"/>
      <c r="AH12" s="25" t="n"/>
      <c r="AI12" s="25" t="n"/>
      <c r="AJ12" s="25" t="n"/>
      <c r="AK12" s="44" t="n"/>
      <c r="AL12" s="25" t="n"/>
      <c r="AM12" s="25" t="n"/>
      <c r="AN12" s="25" t="n"/>
      <c r="AO12" s="25" t="n"/>
      <c r="AP12" s="25" t="n"/>
      <c r="AQ12" s="25" t="n"/>
      <c r="AR12" s="44" t="n"/>
      <c r="AS12" s="25" t="n"/>
      <c r="AT12" s="25" t="n"/>
      <c r="AU12" s="25" t="n"/>
      <c r="AV12" s="25" t="n"/>
      <c r="AW12" s="25" t="n"/>
    </row>
    <row r="13">
      <c r="A13" s="42" t="n">
        <v>6</v>
      </c>
      <c r="B13" s="42" t="inlineStr">
        <is>
          <t>BOH天井下地・防煙垂れ壁</t>
        </is>
      </c>
      <c r="C13" s="42" t="n">
        <v>7</v>
      </c>
      <c r="D13" s="25" t="n"/>
      <c r="E13" s="25" t="n"/>
      <c r="F13" s="25" t="n"/>
      <c r="G13" s="25" t="n"/>
      <c r="H13" s="25" t="n"/>
      <c r="I13" s="44" t="n"/>
      <c r="J13" s="25" t="n"/>
      <c r="K13" s="25" t="n"/>
      <c r="L13" s="43" t="n"/>
      <c r="M13" s="43" t="n"/>
      <c r="N13" s="43" t="n"/>
      <c r="O13" s="43" t="n"/>
      <c r="P13" s="44" t="n"/>
      <c r="Q13" s="43" t="n"/>
      <c r="R13" s="43" t="n"/>
      <c r="S13" s="43" t="n"/>
      <c r="T13" s="25" t="n"/>
      <c r="U13" s="25" t="n"/>
      <c r="V13" s="25" t="n"/>
      <c r="W13" s="44" t="n"/>
      <c r="X13" s="25" t="n"/>
      <c r="Y13" s="25" t="n"/>
      <c r="Z13" s="25" t="n"/>
      <c r="AA13" s="25" t="n"/>
      <c r="AB13" s="25" t="n"/>
      <c r="AC13" s="25" t="n"/>
      <c r="AD13" s="44" t="n"/>
      <c r="AE13" s="25" t="n"/>
      <c r="AF13" s="25" t="n"/>
      <c r="AG13" s="25" t="n"/>
      <c r="AH13" s="25" t="n"/>
      <c r="AI13" s="25" t="n"/>
      <c r="AJ13" s="25" t="n"/>
      <c r="AK13" s="44" t="n"/>
      <c r="AL13" s="25" t="n"/>
      <c r="AM13" s="25" t="n"/>
      <c r="AN13" s="25" t="n"/>
      <c r="AO13" s="25" t="n"/>
      <c r="AP13" s="25" t="n"/>
      <c r="AQ13" s="25" t="n"/>
      <c r="AR13" s="44" t="n"/>
      <c r="AS13" s="25" t="n"/>
      <c r="AT13" s="25" t="n"/>
      <c r="AU13" s="25" t="n"/>
      <c r="AV13" s="25" t="n"/>
      <c r="AW13" s="25" t="n"/>
    </row>
    <row r="14">
      <c r="A14" s="42" t="n">
        <v>7</v>
      </c>
      <c r="B14" s="42" t="inlineStr">
        <is>
          <t>ボード張り（壁・天井）</t>
        </is>
      </c>
      <c r="C14" s="42" t="n">
        <v>9</v>
      </c>
      <c r="D14" s="25" t="n"/>
      <c r="E14" s="25" t="n"/>
      <c r="F14" s="25" t="n"/>
      <c r="G14" s="25" t="n"/>
      <c r="H14" s="25" t="n"/>
      <c r="I14" s="44" t="n"/>
      <c r="J14" s="25" t="n"/>
      <c r="K14" s="25" t="n"/>
      <c r="L14" s="25" t="n"/>
      <c r="M14" s="43" t="n"/>
      <c r="N14" s="43" t="n"/>
      <c r="O14" s="43" t="n"/>
      <c r="P14" s="44" t="n"/>
      <c r="Q14" s="43" t="n"/>
      <c r="R14" s="43" t="n"/>
      <c r="S14" s="43" t="n"/>
      <c r="T14" s="43" t="n"/>
      <c r="U14" s="43" t="n"/>
      <c r="V14" s="43" t="n"/>
      <c r="W14" s="44" t="n"/>
      <c r="X14" s="25" t="n"/>
      <c r="Y14" s="25" t="n"/>
      <c r="Z14" s="25" t="n"/>
      <c r="AA14" s="25" t="n"/>
      <c r="AB14" s="25" t="n"/>
      <c r="AC14" s="25" t="n"/>
      <c r="AD14" s="44" t="n"/>
      <c r="AE14" s="25" t="n"/>
      <c r="AF14" s="25" t="n"/>
      <c r="AG14" s="25" t="n"/>
      <c r="AH14" s="25" t="n"/>
      <c r="AI14" s="25" t="n"/>
      <c r="AJ14" s="25" t="n"/>
      <c r="AK14" s="44" t="n"/>
      <c r="AL14" s="25" t="n"/>
      <c r="AM14" s="25" t="n"/>
      <c r="AN14" s="25" t="n"/>
      <c r="AO14" s="25" t="n"/>
      <c r="AP14" s="25" t="n"/>
      <c r="AQ14" s="25" t="n"/>
      <c r="AR14" s="44" t="n"/>
      <c r="AS14" s="25" t="n"/>
      <c r="AT14" s="25" t="n"/>
      <c r="AU14" s="25" t="n"/>
      <c r="AV14" s="25" t="n"/>
      <c r="AW14" s="25" t="n"/>
    </row>
    <row r="15">
      <c r="A15" s="42" t="n">
        <v>8</v>
      </c>
      <c r="B15" s="42" t="inlineStr">
        <is>
          <t>建具枠取付・什器取付下地</t>
        </is>
      </c>
      <c r="C15" s="42" t="n">
        <v>6</v>
      </c>
      <c r="D15" s="25" t="n"/>
      <c r="E15" s="25" t="n"/>
      <c r="F15" s="25" t="n"/>
      <c r="G15" s="25" t="n"/>
      <c r="H15" s="25" t="n"/>
      <c r="I15" s="44" t="n"/>
      <c r="J15" s="25" t="n"/>
      <c r="K15" s="25" t="n"/>
      <c r="L15" s="25" t="n"/>
      <c r="M15" s="25" t="n"/>
      <c r="N15" s="25" t="n"/>
      <c r="O15" s="25" t="n"/>
      <c r="P15" s="44" t="n"/>
      <c r="Q15" s="25" t="n"/>
      <c r="R15" s="43" t="n"/>
      <c r="S15" s="43" t="n"/>
      <c r="T15" s="43" t="n"/>
      <c r="U15" s="43" t="n"/>
      <c r="V15" s="43" t="n"/>
      <c r="W15" s="44" t="n"/>
      <c r="X15" s="43" t="n"/>
      <c r="Y15" s="25" t="n"/>
      <c r="Z15" s="25" t="n"/>
      <c r="AA15" s="25" t="n"/>
      <c r="AB15" s="25" t="n"/>
      <c r="AC15" s="25" t="n"/>
      <c r="AD15" s="44" t="n"/>
      <c r="AE15" s="25" t="n"/>
      <c r="AF15" s="25" t="n"/>
      <c r="AG15" s="25" t="n"/>
      <c r="AH15" s="25" t="n"/>
      <c r="AI15" s="25" t="n"/>
      <c r="AJ15" s="25" t="n"/>
      <c r="AK15" s="44" t="n"/>
      <c r="AL15" s="25" t="n"/>
      <c r="AM15" s="25" t="n"/>
      <c r="AN15" s="25" t="n"/>
      <c r="AO15" s="25" t="n"/>
      <c r="AP15" s="25" t="n"/>
      <c r="AQ15" s="25" t="n"/>
      <c r="AR15" s="44" t="n"/>
      <c r="AS15" s="25" t="n"/>
      <c r="AT15" s="25" t="n"/>
      <c r="AU15" s="25" t="n"/>
      <c r="AV15" s="25" t="n"/>
      <c r="AW15" s="25" t="n"/>
    </row>
    <row r="16">
      <c r="A16" s="42" t="n">
        <v>9</v>
      </c>
      <c r="B16" s="42" t="inlineStr">
        <is>
          <t>パテ・塗装（天井・壁 AEP）</t>
        </is>
      </c>
      <c r="C16" s="42" t="n">
        <v>10</v>
      </c>
      <c r="D16" s="25" t="n"/>
      <c r="E16" s="25" t="n"/>
      <c r="F16" s="25" t="n"/>
      <c r="G16" s="25" t="n"/>
      <c r="H16" s="25" t="n"/>
      <c r="I16" s="44" t="n"/>
      <c r="J16" s="25" t="n"/>
      <c r="K16" s="25" t="n"/>
      <c r="L16" s="25" t="n"/>
      <c r="M16" s="25" t="n"/>
      <c r="N16" s="25" t="n"/>
      <c r="O16" s="25" t="n"/>
      <c r="P16" s="44" t="n"/>
      <c r="Q16" s="25" t="n"/>
      <c r="R16" s="25" t="n"/>
      <c r="S16" s="25" t="n"/>
      <c r="T16" s="43" t="n"/>
      <c r="U16" s="43" t="n"/>
      <c r="V16" s="43" t="n"/>
      <c r="W16" s="44" t="n"/>
      <c r="X16" s="43" t="n"/>
      <c r="Y16" s="43" t="n"/>
      <c r="Z16" s="43" t="n"/>
      <c r="AA16" s="43" t="n"/>
      <c r="AB16" s="43" t="n"/>
      <c r="AC16" s="43" t="n"/>
      <c r="AD16" s="44" t="n"/>
      <c r="AE16" s="43" t="n"/>
      <c r="AF16" s="25" t="n"/>
      <c r="AG16" s="25" t="n"/>
      <c r="AH16" s="25" t="n"/>
      <c r="AI16" s="25" t="n"/>
      <c r="AJ16" s="25" t="n"/>
      <c r="AK16" s="44" t="n"/>
      <c r="AL16" s="25" t="n"/>
      <c r="AM16" s="25" t="n"/>
      <c r="AN16" s="25" t="n"/>
      <c r="AO16" s="25" t="n"/>
      <c r="AP16" s="25" t="n"/>
      <c r="AQ16" s="25" t="n"/>
      <c r="AR16" s="44" t="n"/>
      <c r="AS16" s="25" t="n"/>
      <c r="AT16" s="25" t="n"/>
      <c r="AU16" s="25" t="n"/>
      <c r="AV16" s="25" t="n"/>
      <c r="AW16" s="25" t="n"/>
    </row>
    <row r="17">
      <c r="A17" s="42" t="n">
        <v>10</v>
      </c>
      <c r="B17" s="42" t="inlineStr">
        <is>
          <t>クロス張り（FR）</t>
        </is>
      </c>
      <c r="C17" s="42" t="n">
        <v>5</v>
      </c>
      <c r="D17" s="25" t="n"/>
      <c r="E17" s="25" t="n"/>
      <c r="F17" s="25" t="n"/>
      <c r="G17" s="25" t="n"/>
      <c r="H17" s="25" t="n"/>
      <c r="I17" s="44" t="n"/>
      <c r="J17" s="25" t="n"/>
      <c r="K17" s="25" t="n"/>
      <c r="L17" s="25" t="n"/>
      <c r="M17" s="25" t="n"/>
      <c r="N17" s="25" t="n"/>
      <c r="O17" s="25" t="n"/>
      <c r="P17" s="44" t="n"/>
      <c r="Q17" s="25" t="n"/>
      <c r="R17" s="25" t="n"/>
      <c r="S17" s="25" t="n"/>
      <c r="T17" s="25" t="n"/>
      <c r="U17" s="25" t="n"/>
      <c r="V17" s="25" t="n"/>
      <c r="W17" s="44" t="n"/>
      <c r="X17" s="25" t="n"/>
      <c r="Y17" s="25" t="n"/>
      <c r="Z17" s="43" t="n"/>
      <c r="AA17" s="43" t="n"/>
      <c r="AB17" s="43" t="n"/>
      <c r="AC17" s="43" t="n"/>
      <c r="AD17" s="44" t="n"/>
      <c r="AE17" s="43" t="n"/>
      <c r="AF17" s="25" t="n"/>
      <c r="AG17" s="25" t="n"/>
      <c r="AH17" s="25" t="n"/>
      <c r="AI17" s="25" t="n"/>
      <c r="AJ17" s="25" t="n"/>
      <c r="AK17" s="44" t="n"/>
      <c r="AL17" s="25" t="n"/>
      <c r="AM17" s="25" t="n"/>
      <c r="AN17" s="25" t="n"/>
      <c r="AO17" s="25" t="n"/>
      <c r="AP17" s="25" t="n"/>
      <c r="AQ17" s="25" t="n"/>
      <c r="AR17" s="44" t="n"/>
      <c r="AS17" s="25" t="n"/>
      <c r="AT17" s="25" t="n"/>
      <c r="AU17" s="25" t="n"/>
      <c r="AV17" s="25" t="n"/>
      <c r="AW17" s="25" t="n"/>
    </row>
    <row r="18">
      <c r="A18" s="42" t="n">
        <v>11</v>
      </c>
      <c r="B18" s="42" t="inlineStr">
        <is>
          <t>照明器具・コンセント・SW 取付</t>
        </is>
      </c>
      <c r="C18" s="42" t="n">
        <v>11</v>
      </c>
      <c r="D18" s="25" t="n"/>
      <c r="E18" s="25" t="n"/>
      <c r="F18" s="25" t="n"/>
      <c r="G18" s="25" t="n"/>
      <c r="H18" s="25" t="n"/>
      <c r="I18" s="44" t="n"/>
      <c r="J18" s="25" t="n"/>
      <c r="K18" s="25" t="n"/>
      <c r="L18" s="25" t="n"/>
      <c r="M18" s="25" t="n"/>
      <c r="N18" s="25" t="n"/>
      <c r="O18" s="25" t="n"/>
      <c r="P18" s="44" t="n"/>
      <c r="Q18" s="25" t="n"/>
      <c r="R18" s="25" t="n"/>
      <c r="S18" s="25" t="n"/>
      <c r="T18" s="25" t="n"/>
      <c r="U18" s="25" t="n"/>
      <c r="V18" s="25" t="n"/>
      <c r="W18" s="44" t="n"/>
      <c r="X18" s="43" t="n"/>
      <c r="Y18" s="43" t="n"/>
      <c r="Z18" s="43" t="n"/>
      <c r="AA18" s="43" t="n"/>
      <c r="AB18" s="43" t="n"/>
      <c r="AC18" s="43" t="n"/>
      <c r="AD18" s="44" t="n"/>
      <c r="AE18" s="43" t="n"/>
      <c r="AF18" s="43" t="n"/>
      <c r="AG18" s="43" t="n"/>
      <c r="AH18" s="43" t="n"/>
      <c r="AI18" s="43" t="n"/>
      <c r="AJ18" s="25" t="n"/>
      <c r="AK18" s="44" t="n"/>
      <c r="AL18" s="25" t="n"/>
      <c r="AM18" s="25" t="n"/>
      <c r="AN18" s="25" t="n"/>
      <c r="AO18" s="25" t="n"/>
      <c r="AP18" s="25" t="n"/>
      <c r="AQ18" s="25" t="n"/>
      <c r="AR18" s="44" t="n"/>
      <c r="AS18" s="25" t="n"/>
      <c r="AT18" s="25" t="n"/>
      <c r="AU18" s="25" t="n"/>
      <c r="AV18" s="25" t="n"/>
      <c r="AW18" s="25" t="n"/>
    </row>
    <row r="19">
      <c r="A19" s="42" t="n">
        <v>12</v>
      </c>
      <c r="B19" s="42" t="inlineStr">
        <is>
          <t>床下地調整・塩ビタイル・巾木</t>
        </is>
      </c>
      <c r="C19" s="42" t="n">
        <v>8</v>
      </c>
      <c r="D19" s="25" t="n"/>
      <c r="E19" s="25" t="n"/>
      <c r="F19" s="25" t="n"/>
      <c r="G19" s="25" t="n"/>
      <c r="H19" s="25" t="n"/>
      <c r="I19" s="44" t="n"/>
      <c r="J19" s="25" t="n"/>
      <c r="K19" s="25" t="n"/>
      <c r="L19" s="25" t="n"/>
      <c r="M19" s="25" t="n"/>
      <c r="N19" s="25" t="n"/>
      <c r="O19" s="25" t="n"/>
      <c r="P19" s="44" t="n"/>
      <c r="Q19" s="25" t="n"/>
      <c r="R19" s="25" t="n"/>
      <c r="S19" s="25" t="n"/>
      <c r="T19" s="25" t="n"/>
      <c r="U19" s="25" t="n"/>
      <c r="V19" s="25" t="n"/>
      <c r="W19" s="44" t="n"/>
      <c r="X19" s="25" t="n"/>
      <c r="Y19" s="25" t="n"/>
      <c r="Z19" s="25" t="n"/>
      <c r="AA19" s="25" t="n"/>
      <c r="AB19" s="43" t="n"/>
      <c r="AC19" s="43" t="n"/>
      <c r="AD19" s="44" t="n"/>
      <c r="AE19" s="43" t="n"/>
      <c r="AF19" s="43" t="n"/>
      <c r="AG19" s="43" t="n"/>
      <c r="AH19" s="43" t="n"/>
      <c r="AI19" s="43" t="n"/>
      <c r="AJ19" s="43" t="n"/>
      <c r="AK19" s="44" t="n"/>
      <c r="AL19" s="25" t="n"/>
      <c r="AM19" s="25" t="n"/>
      <c r="AN19" s="25" t="n"/>
      <c r="AO19" s="25" t="n"/>
      <c r="AP19" s="25" t="n"/>
      <c r="AQ19" s="25" t="n"/>
      <c r="AR19" s="44" t="n"/>
      <c r="AS19" s="25" t="n"/>
      <c r="AT19" s="25" t="n"/>
      <c r="AU19" s="25" t="n"/>
      <c r="AV19" s="25" t="n"/>
      <c r="AW19" s="25" t="n"/>
    </row>
    <row r="20">
      <c r="A20" s="42" t="n">
        <v>13</v>
      </c>
      <c r="B20" s="42" t="inlineStr">
        <is>
          <t>造作家具（レジバック・FR・棚・SW造作）</t>
        </is>
      </c>
      <c r="C20" s="42" t="n">
        <v>10</v>
      </c>
      <c r="D20" s="25" t="n"/>
      <c r="E20" s="25" t="n"/>
      <c r="F20" s="25" t="n"/>
      <c r="G20" s="25" t="n"/>
      <c r="H20" s="25" t="n"/>
      <c r="I20" s="44" t="n"/>
      <c r="J20" s="25" t="n"/>
      <c r="K20" s="25" t="n"/>
      <c r="L20" s="25" t="n"/>
      <c r="M20" s="25" t="n"/>
      <c r="N20" s="25" t="n"/>
      <c r="O20" s="25" t="n"/>
      <c r="P20" s="44" t="n"/>
      <c r="Q20" s="25" t="n"/>
      <c r="R20" s="25" t="n"/>
      <c r="S20" s="25" t="n"/>
      <c r="T20" s="25" t="n"/>
      <c r="U20" s="25" t="n"/>
      <c r="V20" s="25" t="n"/>
      <c r="W20" s="44" t="n"/>
      <c r="X20" s="25" t="n"/>
      <c r="Y20" s="25" t="n"/>
      <c r="Z20" s="25" t="n"/>
      <c r="AA20" s="43" t="n"/>
      <c r="AB20" s="43" t="n"/>
      <c r="AC20" s="43" t="n"/>
      <c r="AD20" s="44" t="n"/>
      <c r="AE20" s="43" t="n"/>
      <c r="AF20" s="43" t="n"/>
      <c r="AG20" s="43" t="n"/>
      <c r="AH20" s="43" t="n"/>
      <c r="AI20" s="43" t="n"/>
      <c r="AJ20" s="43" t="n"/>
      <c r="AK20" s="44" t="n"/>
      <c r="AL20" s="43" t="n"/>
      <c r="AM20" s="25" t="n"/>
      <c r="AN20" s="25" t="n"/>
      <c r="AO20" s="25" t="n"/>
      <c r="AP20" s="25" t="n"/>
      <c r="AQ20" s="25" t="n"/>
      <c r="AR20" s="44" t="n"/>
      <c r="AS20" s="25" t="n"/>
      <c r="AT20" s="25" t="n"/>
      <c r="AU20" s="25" t="n"/>
      <c r="AV20" s="25" t="n"/>
      <c r="AW20" s="25" t="n"/>
    </row>
    <row r="21">
      <c r="A21" s="42" t="n">
        <v>14</v>
      </c>
      <c r="B21" s="42" t="inlineStr">
        <is>
          <t>建具吊込み・金物・見切り</t>
        </is>
      </c>
      <c r="C21" s="42" t="n">
        <v>7</v>
      </c>
      <c r="D21" s="25" t="n"/>
      <c r="E21" s="25" t="n"/>
      <c r="F21" s="25" t="n"/>
      <c r="G21" s="25" t="n"/>
      <c r="H21" s="25" t="n"/>
      <c r="I21" s="44" t="n"/>
      <c r="J21" s="25" t="n"/>
      <c r="K21" s="25" t="n"/>
      <c r="L21" s="25" t="n"/>
      <c r="M21" s="25" t="n"/>
      <c r="N21" s="25" t="n"/>
      <c r="O21" s="25" t="n"/>
      <c r="P21" s="44" t="n"/>
      <c r="Q21" s="25" t="n"/>
      <c r="R21" s="25" t="n"/>
      <c r="S21" s="25" t="n"/>
      <c r="T21" s="25" t="n"/>
      <c r="U21" s="25" t="n"/>
      <c r="V21" s="25" t="n"/>
      <c r="W21" s="44" t="n"/>
      <c r="X21" s="25" t="n"/>
      <c r="Y21" s="25" t="n"/>
      <c r="Z21" s="25" t="n"/>
      <c r="AA21" s="25" t="n"/>
      <c r="AB21" s="25" t="n"/>
      <c r="AC21" s="25" t="n"/>
      <c r="AD21" s="44" t="n"/>
      <c r="AE21" s="25" t="n"/>
      <c r="AF21" s="43" t="n"/>
      <c r="AG21" s="43" t="n"/>
      <c r="AH21" s="43" t="n"/>
      <c r="AI21" s="43" t="n"/>
      <c r="AJ21" s="43" t="n"/>
      <c r="AK21" s="44" t="n"/>
      <c r="AL21" s="43" t="n"/>
      <c r="AM21" s="43" t="n"/>
      <c r="AN21" s="25" t="n"/>
      <c r="AO21" s="25" t="n"/>
      <c r="AP21" s="25" t="n"/>
      <c r="AQ21" s="25" t="n"/>
      <c r="AR21" s="44" t="n"/>
      <c r="AS21" s="25" t="n"/>
      <c r="AT21" s="25" t="n"/>
      <c r="AU21" s="25" t="n"/>
      <c r="AV21" s="25" t="n"/>
      <c r="AW21" s="25" t="n"/>
    </row>
    <row r="22">
      <c r="A22" s="42" t="n">
        <v>15</v>
      </c>
      <c r="B22" s="42" t="inlineStr">
        <is>
          <t>柱巻ミラー・FRミラー</t>
        </is>
      </c>
      <c r="C22" s="42" t="n">
        <v>6</v>
      </c>
      <c r="D22" s="25" t="n"/>
      <c r="E22" s="25" t="n"/>
      <c r="F22" s="25" t="n"/>
      <c r="G22" s="25" t="n"/>
      <c r="H22" s="25" t="n"/>
      <c r="I22" s="44" t="n"/>
      <c r="J22" s="25" t="n"/>
      <c r="K22" s="25" t="n"/>
      <c r="L22" s="25" t="n"/>
      <c r="M22" s="25" t="n"/>
      <c r="N22" s="25" t="n"/>
      <c r="O22" s="25" t="n"/>
      <c r="P22" s="44" t="n"/>
      <c r="Q22" s="25" t="n"/>
      <c r="R22" s="25" t="n"/>
      <c r="S22" s="25" t="n"/>
      <c r="T22" s="25" t="n"/>
      <c r="U22" s="25" t="n"/>
      <c r="V22" s="25" t="n"/>
      <c r="W22" s="44" t="n"/>
      <c r="X22" s="25" t="n"/>
      <c r="Y22" s="25" t="n"/>
      <c r="Z22" s="25" t="n"/>
      <c r="AA22" s="25" t="n"/>
      <c r="AB22" s="25" t="n"/>
      <c r="AC22" s="25" t="n"/>
      <c r="AD22" s="44" t="n"/>
      <c r="AE22" s="25" t="n"/>
      <c r="AF22" s="25" t="n"/>
      <c r="AG22" s="43" t="n"/>
      <c r="AH22" s="43" t="n"/>
      <c r="AI22" s="43" t="n"/>
      <c r="AJ22" s="43" t="n"/>
      <c r="AK22" s="44" t="n"/>
      <c r="AL22" s="43" t="n"/>
      <c r="AM22" s="43" t="n"/>
      <c r="AN22" s="25" t="n"/>
      <c r="AO22" s="25" t="n"/>
      <c r="AP22" s="25" t="n"/>
      <c r="AQ22" s="25" t="n"/>
      <c r="AR22" s="44" t="n"/>
      <c r="AS22" s="25" t="n"/>
      <c r="AT22" s="25" t="n"/>
      <c r="AU22" s="25" t="n"/>
      <c r="AV22" s="25" t="n"/>
      <c r="AW22" s="25" t="n"/>
    </row>
    <row r="23">
      <c r="A23" s="42" t="n">
        <v>16</v>
      </c>
      <c r="B23" s="42" t="inlineStr">
        <is>
          <t>サイン取付（支給品含む）</t>
        </is>
      </c>
      <c r="C23" s="42" t="n">
        <v>7</v>
      </c>
      <c r="D23" s="25" t="n"/>
      <c r="E23" s="25" t="n"/>
      <c r="F23" s="25" t="n"/>
      <c r="G23" s="25" t="n"/>
      <c r="H23" s="25" t="n"/>
      <c r="I23" s="44" t="n"/>
      <c r="J23" s="25" t="n"/>
      <c r="K23" s="25" t="n"/>
      <c r="L23" s="25" t="n"/>
      <c r="M23" s="25" t="n"/>
      <c r="N23" s="25" t="n"/>
      <c r="O23" s="25" t="n"/>
      <c r="P23" s="44" t="n"/>
      <c r="Q23" s="25" t="n"/>
      <c r="R23" s="25" t="n"/>
      <c r="S23" s="25" t="n"/>
      <c r="T23" s="25" t="n"/>
      <c r="U23" s="25" t="n"/>
      <c r="V23" s="25" t="n"/>
      <c r="W23" s="44" t="n"/>
      <c r="X23" s="25" t="n"/>
      <c r="Y23" s="25" t="n"/>
      <c r="Z23" s="25" t="n"/>
      <c r="AA23" s="25" t="n"/>
      <c r="AB23" s="25" t="n"/>
      <c r="AC23" s="25" t="n"/>
      <c r="AD23" s="44" t="n"/>
      <c r="AE23" s="25" t="n"/>
      <c r="AF23" s="25" t="n"/>
      <c r="AG23" s="25" t="n"/>
      <c r="AH23" s="25" t="n"/>
      <c r="AI23" s="43" t="n"/>
      <c r="AJ23" s="43" t="n"/>
      <c r="AK23" s="44" t="n"/>
      <c r="AL23" s="43" t="n"/>
      <c r="AM23" s="43" t="n"/>
      <c r="AN23" s="43" t="n"/>
      <c r="AO23" s="43" t="n"/>
      <c r="AP23" s="43" t="n"/>
      <c r="AQ23" s="25" t="n"/>
      <c r="AR23" s="44" t="n"/>
      <c r="AS23" s="25" t="n"/>
      <c r="AT23" s="25" t="n"/>
      <c r="AU23" s="25" t="n"/>
      <c r="AV23" s="25" t="n"/>
      <c r="AW23" s="25" t="n"/>
    </row>
    <row r="24">
      <c r="A24" s="42" t="n">
        <v>17</v>
      </c>
      <c r="B24" s="42" t="inlineStr">
        <is>
          <t>弱電・音響・防犯（指定会社 電話/POS/有線含む）</t>
        </is>
      </c>
      <c r="C24" s="42" t="n">
        <v>8</v>
      </c>
      <c r="D24" s="25" t="n"/>
      <c r="E24" s="25" t="n"/>
      <c r="F24" s="25" t="n"/>
      <c r="G24" s="25" t="n"/>
      <c r="H24" s="25" t="n"/>
      <c r="I24" s="44" t="n"/>
      <c r="J24" s="25" t="n"/>
      <c r="K24" s="25" t="n"/>
      <c r="L24" s="25" t="n"/>
      <c r="M24" s="25" t="n"/>
      <c r="N24" s="25" t="n"/>
      <c r="O24" s="25" t="n"/>
      <c r="P24" s="44" t="n"/>
      <c r="Q24" s="25" t="n"/>
      <c r="R24" s="25" t="n"/>
      <c r="S24" s="25" t="n"/>
      <c r="T24" s="25" t="n"/>
      <c r="U24" s="25" t="n"/>
      <c r="V24" s="25" t="n"/>
      <c r="W24" s="44" t="n"/>
      <c r="X24" s="25" t="n"/>
      <c r="Y24" s="25" t="n"/>
      <c r="Z24" s="25" t="n"/>
      <c r="AA24" s="25" t="n"/>
      <c r="AB24" s="25" t="n"/>
      <c r="AC24" s="25" t="n"/>
      <c r="AD24" s="44" t="n"/>
      <c r="AE24" s="25" t="n"/>
      <c r="AF24" s="25" t="n"/>
      <c r="AG24" s="25" t="n"/>
      <c r="AH24" s="25" t="n"/>
      <c r="AI24" s="45" t="n"/>
      <c r="AJ24" s="45" t="n"/>
      <c r="AK24" s="44" t="n"/>
      <c r="AL24" s="45" t="n"/>
      <c r="AM24" s="45" t="n"/>
      <c r="AN24" s="45" t="n"/>
      <c r="AO24" s="45" t="n"/>
      <c r="AP24" s="45" t="n"/>
      <c r="AQ24" s="45" t="n"/>
      <c r="AR24" s="44" t="n"/>
      <c r="AS24" s="25" t="n"/>
      <c r="AT24" s="25" t="n"/>
      <c r="AU24" s="25" t="n"/>
      <c r="AV24" s="25" t="n"/>
      <c r="AW24" s="25" t="n"/>
    </row>
    <row r="25">
      <c r="A25" s="42" t="n">
        <v>18</v>
      </c>
      <c r="B25" s="42" t="inlineStr">
        <is>
          <t>支給品什器 搬入・据付（GU様手配）</t>
        </is>
      </c>
      <c r="C25" s="42" t="n">
        <v>6</v>
      </c>
      <c r="D25" s="25" t="n"/>
      <c r="E25" s="25" t="n"/>
      <c r="F25" s="25" t="n"/>
      <c r="G25" s="25" t="n"/>
      <c r="H25" s="25" t="n"/>
      <c r="I25" s="44" t="n"/>
      <c r="J25" s="25" t="n"/>
      <c r="K25" s="25" t="n"/>
      <c r="L25" s="25" t="n"/>
      <c r="M25" s="25" t="n"/>
      <c r="N25" s="25" t="n"/>
      <c r="O25" s="25" t="n"/>
      <c r="P25" s="44" t="n"/>
      <c r="Q25" s="25" t="n"/>
      <c r="R25" s="25" t="n"/>
      <c r="S25" s="25" t="n"/>
      <c r="T25" s="25" t="n"/>
      <c r="U25" s="25" t="n"/>
      <c r="V25" s="25" t="n"/>
      <c r="W25" s="44" t="n"/>
      <c r="X25" s="25" t="n"/>
      <c r="Y25" s="25" t="n"/>
      <c r="Z25" s="25" t="n"/>
      <c r="AA25" s="25" t="n"/>
      <c r="AB25" s="25" t="n"/>
      <c r="AC25" s="25" t="n"/>
      <c r="AD25" s="44" t="n"/>
      <c r="AE25" s="25" t="n"/>
      <c r="AF25" s="25" t="n"/>
      <c r="AG25" s="25" t="n"/>
      <c r="AH25" s="25" t="n"/>
      <c r="AI25" s="25" t="n"/>
      <c r="AJ25" s="25" t="n"/>
      <c r="AK25" s="44" t="n"/>
      <c r="AL25" s="46" t="n"/>
      <c r="AM25" s="46" t="n"/>
      <c r="AN25" s="46" t="n"/>
      <c r="AO25" s="46" t="n"/>
      <c r="AP25" s="46" t="n"/>
      <c r="AQ25" s="46" t="n"/>
      <c r="AR25" s="44" t="n"/>
      <c r="AS25" s="25" t="n"/>
      <c r="AT25" s="25" t="n"/>
      <c r="AU25" s="25" t="n"/>
      <c r="AV25" s="25" t="n"/>
      <c r="AW25" s="25" t="n"/>
    </row>
    <row r="26">
      <c r="A26" s="42" t="n">
        <v>19</v>
      </c>
      <c r="B26" s="42" t="inlineStr">
        <is>
          <t>試験調整・絶縁抵抗測定・照明フォーカス</t>
        </is>
      </c>
      <c r="C26" s="42" t="n">
        <v>4</v>
      </c>
      <c r="D26" s="25" t="n"/>
      <c r="E26" s="25" t="n"/>
      <c r="F26" s="25" t="n"/>
      <c r="G26" s="25" t="n"/>
      <c r="H26" s="25" t="n"/>
      <c r="I26" s="44" t="n"/>
      <c r="J26" s="25" t="n"/>
      <c r="K26" s="25" t="n"/>
      <c r="L26" s="25" t="n"/>
      <c r="M26" s="25" t="n"/>
      <c r="N26" s="25" t="n"/>
      <c r="O26" s="25" t="n"/>
      <c r="P26" s="44" t="n"/>
      <c r="Q26" s="25" t="n"/>
      <c r="R26" s="25" t="n"/>
      <c r="S26" s="25" t="n"/>
      <c r="T26" s="25" t="n"/>
      <c r="U26" s="25" t="n"/>
      <c r="V26" s="25" t="n"/>
      <c r="W26" s="44" t="n"/>
      <c r="X26" s="25" t="n"/>
      <c r="Y26" s="25" t="n"/>
      <c r="Z26" s="25" t="n"/>
      <c r="AA26" s="25" t="n"/>
      <c r="AB26" s="25" t="n"/>
      <c r="AC26" s="25" t="n"/>
      <c r="AD26" s="44" t="n"/>
      <c r="AE26" s="25" t="n"/>
      <c r="AF26" s="25" t="n"/>
      <c r="AG26" s="25" t="n"/>
      <c r="AH26" s="25" t="n"/>
      <c r="AI26" s="25" t="n"/>
      <c r="AJ26" s="25" t="n"/>
      <c r="AK26" s="44" t="n"/>
      <c r="AL26" s="25" t="n"/>
      <c r="AM26" s="25" t="n"/>
      <c r="AN26" s="25" t="n"/>
      <c r="AO26" s="43" t="n"/>
      <c r="AP26" s="43" t="n"/>
      <c r="AQ26" s="43" t="n"/>
      <c r="AR26" s="44" t="n"/>
      <c r="AS26" s="43" t="n"/>
      <c r="AT26" s="25" t="n"/>
      <c r="AU26" s="25" t="n"/>
      <c r="AV26" s="25" t="n"/>
      <c r="AW26" s="25" t="n"/>
    </row>
    <row r="27">
      <c r="A27" s="42" t="n">
        <v>20</v>
      </c>
      <c r="B27" s="42" t="inlineStr">
        <is>
          <t>手直し・竣工クリーニング</t>
        </is>
      </c>
      <c r="C27" s="42" t="n">
        <v>4</v>
      </c>
      <c r="D27" s="25" t="n"/>
      <c r="E27" s="25" t="n"/>
      <c r="F27" s="25" t="n"/>
      <c r="G27" s="25" t="n"/>
      <c r="H27" s="25" t="n"/>
      <c r="I27" s="44" t="n"/>
      <c r="J27" s="25" t="n"/>
      <c r="K27" s="25" t="n"/>
      <c r="L27" s="25" t="n"/>
      <c r="M27" s="25" t="n"/>
      <c r="N27" s="25" t="n"/>
      <c r="O27" s="25" t="n"/>
      <c r="P27" s="44" t="n"/>
      <c r="Q27" s="25" t="n"/>
      <c r="R27" s="25" t="n"/>
      <c r="S27" s="25" t="n"/>
      <c r="T27" s="25" t="n"/>
      <c r="U27" s="25" t="n"/>
      <c r="V27" s="25" t="n"/>
      <c r="W27" s="44" t="n"/>
      <c r="X27" s="25" t="n"/>
      <c r="Y27" s="25" t="n"/>
      <c r="Z27" s="25" t="n"/>
      <c r="AA27" s="25" t="n"/>
      <c r="AB27" s="25" t="n"/>
      <c r="AC27" s="25" t="n"/>
      <c r="AD27" s="44" t="n"/>
      <c r="AE27" s="25" t="n"/>
      <c r="AF27" s="25" t="n"/>
      <c r="AG27" s="25" t="n"/>
      <c r="AH27" s="25" t="n"/>
      <c r="AI27" s="25" t="n"/>
      <c r="AJ27" s="25" t="n"/>
      <c r="AK27" s="44" t="n"/>
      <c r="AL27" s="25" t="n"/>
      <c r="AM27" s="25" t="n"/>
      <c r="AN27" s="25" t="n"/>
      <c r="AO27" s="25" t="n"/>
      <c r="AP27" s="25" t="n"/>
      <c r="AQ27" s="43" t="n"/>
      <c r="AR27" s="44" t="n"/>
      <c r="AS27" s="43" t="n"/>
      <c r="AT27" s="43" t="n"/>
      <c r="AU27" s="43" t="n"/>
      <c r="AV27" s="25" t="n"/>
      <c r="AW27" s="25" t="n"/>
    </row>
    <row r="28">
      <c r="A28" s="42" t="n">
        <v>21</v>
      </c>
      <c r="B28" s="42" t="inlineStr">
        <is>
          <t>自主検査 → 内装監理室検査</t>
        </is>
      </c>
      <c r="C28" s="42" t="n">
        <v>2</v>
      </c>
      <c r="D28" s="25" t="n"/>
      <c r="E28" s="25" t="n"/>
      <c r="F28" s="25" t="n"/>
      <c r="G28" s="25" t="n"/>
      <c r="H28" s="25" t="n"/>
      <c r="I28" s="44" t="n"/>
      <c r="J28" s="25" t="n"/>
      <c r="K28" s="25" t="n"/>
      <c r="L28" s="25" t="n"/>
      <c r="M28" s="25" t="n"/>
      <c r="N28" s="25" t="n"/>
      <c r="O28" s="25" t="n"/>
      <c r="P28" s="44" t="n"/>
      <c r="Q28" s="25" t="n"/>
      <c r="R28" s="25" t="n"/>
      <c r="S28" s="25" t="n"/>
      <c r="T28" s="25" t="n"/>
      <c r="U28" s="25" t="n"/>
      <c r="V28" s="25" t="n"/>
      <c r="W28" s="44" t="n"/>
      <c r="X28" s="25" t="n"/>
      <c r="Y28" s="25" t="n"/>
      <c r="Z28" s="25" t="n"/>
      <c r="AA28" s="25" t="n"/>
      <c r="AB28" s="25" t="n"/>
      <c r="AC28" s="25" t="n"/>
      <c r="AD28" s="44" t="n"/>
      <c r="AE28" s="25" t="n"/>
      <c r="AF28" s="25" t="n"/>
      <c r="AG28" s="25" t="n"/>
      <c r="AH28" s="25" t="n"/>
      <c r="AI28" s="25" t="n"/>
      <c r="AJ28" s="25" t="n"/>
      <c r="AK28" s="44" t="n"/>
      <c r="AL28" s="25" t="n"/>
      <c r="AM28" s="25" t="n"/>
      <c r="AN28" s="25" t="n"/>
      <c r="AO28" s="25" t="n"/>
      <c r="AP28" s="25" t="n"/>
      <c r="AQ28" s="25" t="n"/>
      <c r="AR28" s="44" t="n"/>
      <c r="AS28" s="25" t="n"/>
      <c r="AT28" s="43" t="n"/>
      <c r="AU28" s="43" t="n"/>
      <c r="AV28" s="25" t="n"/>
      <c r="AW28" s="25" t="n"/>
    </row>
    <row r="29">
      <c r="A29" s="42" t="n">
        <v>22</v>
      </c>
      <c r="B29" s="42" t="inlineStr">
        <is>
          <t>消防検査・是正</t>
        </is>
      </c>
      <c r="C29" s="42" t="n">
        <v>1</v>
      </c>
      <c r="D29" s="25" t="n"/>
      <c r="E29" s="25" t="n"/>
      <c r="F29" s="25" t="n"/>
      <c r="G29" s="25" t="n"/>
      <c r="H29" s="25" t="n"/>
      <c r="I29" s="44" t="n"/>
      <c r="J29" s="25" t="n"/>
      <c r="K29" s="25" t="n"/>
      <c r="L29" s="25" t="n"/>
      <c r="M29" s="25" t="n"/>
      <c r="N29" s="25" t="n"/>
      <c r="O29" s="25" t="n"/>
      <c r="P29" s="44" t="n"/>
      <c r="Q29" s="25" t="n"/>
      <c r="R29" s="25" t="n"/>
      <c r="S29" s="25" t="n"/>
      <c r="T29" s="25" t="n"/>
      <c r="U29" s="25" t="n"/>
      <c r="V29" s="25" t="n"/>
      <c r="W29" s="44" t="n"/>
      <c r="X29" s="25" t="n"/>
      <c r="Y29" s="25" t="n"/>
      <c r="Z29" s="25" t="n"/>
      <c r="AA29" s="25" t="n"/>
      <c r="AB29" s="25" t="n"/>
      <c r="AC29" s="25" t="n"/>
      <c r="AD29" s="44" t="n"/>
      <c r="AE29" s="25" t="n"/>
      <c r="AF29" s="25" t="n"/>
      <c r="AG29" s="25" t="n"/>
      <c r="AH29" s="25" t="n"/>
      <c r="AI29" s="25" t="n"/>
      <c r="AJ29" s="25" t="n"/>
      <c r="AK29" s="44" t="n"/>
      <c r="AL29" s="25" t="n"/>
      <c r="AM29" s="25" t="n"/>
      <c r="AN29" s="25" t="n"/>
      <c r="AO29" s="25" t="n"/>
      <c r="AP29" s="25" t="n"/>
      <c r="AQ29" s="25" t="n"/>
      <c r="AR29" s="44" t="n"/>
      <c r="AS29" s="25" t="n"/>
      <c r="AT29" s="25" t="n"/>
      <c r="AU29" s="25" t="n"/>
      <c r="AV29" s="45" t="n"/>
      <c r="AW29" s="25" t="n"/>
    </row>
    <row r="30">
      <c r="A30" s="42" t="n">
        <v>23</v>
      </c>
      <c r="B30" s="42" t="inlineStr">
        <is>
          <t>引渡し・商品搬入</t>
        </is>
      </c>
      <c r="C30" s="42" t="n">
        <v>1</v>
      </c>
      <c r="D30" s="25" t="n"/>
      <c r="E30" s="25" t="n"/>
      <c r="F30" s="25" t="n"/>
      <c r="G30" s="25" t="n"/>
      <c r="H30" s="25" t="n"/>
      <c r="I30" s="44" t="n"/>
      <c r="J30" s="25" t="n"/>
      <c r="K30" s="25" t="n"/>
      <c r="L30" s="25" t="n"/>
      <c r="M30" s="25" t="n"/>
      <c r="N30" s="25" t="n"/>
      <c r="O30" s="25" t="n"/>
      <c r="P30" s="44" t="n"/>
      <c r="Q30" s="25" t="n"/>
      <c r="R30" s="25" t="n"/>
      <c r="S30" s="25" t="n"/>
      <c r="T30" s="25" t="n"/>
      <c r="U30" s="25" t="n"/>
      <c r="V30" s="25" t="n"/>
      <c r="W30" s="44" t="n"/>
      <c r="X30" s="25" t="n"/>
      <c r="Y30" s="25" t="n"/>
      <c r="Z30" s="25" t="n"/>
      <c r="AA30" s="25" t="n"/>
      <c r="AB30" s="25" t="n"/>
      <c r="AC30" s="25" t="n"/>
      <c r="AD30" s="44" t="n"/>
      <c r="AE30" s="25" t="n"/>
      <c r="AF30" s="25" t="n"/>
      <c r="AG30" s="25" t="n"/>
      <c r="AH30" s="25" t="n"/>
      <c r="AI30" s="25" t="n"/>
      <c r="AJ30" s="25" t="n"/>
      <c r="AK30" s="44" t="n"/>
      <c r="AL30" s="25" t="n"/>
      <c r="AM30" s="25" t="n"/>
      <c r="AN30" s="25" t="n"/>
      <c r="AO30" s="25" t="n"/>
      <c r="AP30" s="25" t="n"/>
      <c r="AQ30" s="25" t="n"/>
      <c r="AR30" s="44" t="n"/>
      <c r="AS30" s="25" t="n"/>
      <c r="AT30" s="25" t="n"/>
      <c r="AU30" s="25" t="n"/>
      <c r="AV30" s="25" t="n"/>
      <c r="AW30" s="46" t="n"/>
    </row>
    <row r="32">
      <c r="D32" s="47" t="n"/>
      <c r="E32" s="38" t="inlineStr">
        <is>
          <t>C工事（当社）</t>
        </is>
      </c>
    </row>
    <row r="33">
      <c r="D33" s="48" t="n"/>
      <c r="E33" s="38" t="inlineStr">
        <is>
          <t>B工事・指定会社</t>
        </is>
      </c>
    </row>
    <row r="34">
      <c r="D34" s="49" t="n"/>
      <c r="E34" s="38" t="inlineStr">
        <is>
          <t>GU様手配・引渡し</t>
        </is>
      </c>
    </row>
    <row r="35">
      <c r="B35" s="38" t="inlineStr">
        <is>
          <t>※ 作業は22:00入館〜07:00終了（夕礼・KY後に作業開始、残業不可）。搬入は22:00〜06:00、4t車まで、1台30分以内（北荷捌所）。</t>
        </is>
      </c>
    </row>
    <row r="36">
      <c r="B36" s="38" t="inlineStr">
        <is>
          <t>※ 溶接不可。火気使用は内装監理室の承認が必要（残火確認2時間）。</t>
        </is>
      </c>
    </row>
    <row r="37">
      <c r="B37" s="38" t="inlineStr">
        <is>
          <t>※ 着工10日前までに施工承認書類（様式1〜9）、7日前までに着工届・作業員名簿・A/B工事引渡し確認書を提出。</t>
        </is>
      </c>
    </row>
  </sheetData>
  <pageMargins left="0.75" right="0.75" top="1" bottom="1" header="0.5" footer="0.5"/>
  <pageSetup orientation="landscape" paperSize="8" fitToHeight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>
      <c r="A1" s="13" t="inlineStr">
        <is>
          <t>全体工程表（見積〜引渡し・週単位）</t>
        </is>
      </c>
    </row>
    <row r="3">
      <c r="A3" s="41" t="inlineStr">
        <is>
          <t>No</t>
        </is>
      </c>
      <c r="B3" s="41" t="inlineStr">
        <is>
          <t>項目</t>
        </is>
      </c>
      <c r="C3" s="50" t="inlineStr">
        <is>
          <t>10/19</t>
        </is>
      </c>
      <c r="D3" s="50" t="inlineStr">
        <is>
          <t>10/26</t>
        </is>
      </c>
      <c r="E3" s="50" t="inlineStr">
        <is>
          <t>11/2</t>
        </is>
      </c>
      <c r="F3" s="50" t="inlineStr">
        <is>
          <t>11/9</t>
        </is>
      </c>
      <c r="G3" s="50" t="inlineStr">
        <is>
          <t>11/16</t>
        </is>
      </c>
      <c r="H3" s="50" t="inlineStr">
        <is>
          <t>11/23</t>
        </is>
      </c>
      <c r="I3" s="50" t="inlineStr">
        <is>
          <t>11/30</t>
        </is>
      </c>
      <c r="J3" s="50" t="inlineStr">
        <is>
          <t>12/7</t>
        </is>
      </c>
      <c r="K3" s="50" t="inlineStr">
        <is>
          <t>12/14</t>
        </is>
      </c>
      <c r="L3" s="50" t="inlineStr">
        <is>
          <t>12/21</t>
        </is>
      </c>
      <c r="M3" s="50" t="inlineStr">
        <is>
          <t>12/28</t>
        </is>
      </c>
      <c r="N3" s="50" t="inlineStr">
        <is>
          <t>1/4</t>
        </is>
      </c>
      <c r="O3" s="50" t="inlineStr">
        <is>
          <t>1/11</t>
        </is>
      </c>
      <c r="P3" s="50" t="inlineStr">
        <is>
          <t>1/18</t>
        </is>
      </c>
      <c r="Q3" s="50" t="inlineStr">
        <is>
          <t>1/25</t>
        </is>
      </c>
      <c r="R3" s="50" t="inlineStr">
        <is>
          <t>2/1</t>
        </is>
      </c>
      <c r="S3" s="50" t="inlineStr">
        <is>
          <t>2/8</t>
        </is>
      </c>
      <c r="T3" s="50" t="inlineStr">
        <is>
          <t>2/15</t>
        </is>
      </c>
      <c r="U3" s="50" t="inlineStr">
        <is>
          <t>2/22</t>
        </is>
      </c>
      <c r="V3" s="50" t="inlineStr">
        <is>
          <t>3/1</t>
        </is>
      </c>
    </row>
    <row r="4">
      <c r="A4" s="42" t="n">
        <v>1</v>
      </c>
      <c r="B4" s="42" t="inlineStr">
        <is>
          <t>図面受領・積算・見積提出</t>
        </is>
      </c>
      <c r="C4" s="43" t="n"/>
      <c r="D4" s="43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</row>
    <row r="5">
      <c r="A5" s="42" t="n">
        <v>2</v>
      </c>
      <c r="B5" s="42" t="inlineStr">
        <is>
          <t>見積調整（VE・数量精査）・契約</t>
        </is>
      </c>
      <c r="C5" s="25" t="n"/>
      <c r="D5" s="25" t="n"/>
      <c r="E5" s="43" t="n"/>
      <c r="F5" s="43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</row>
    <row r="6">
      <c r="A6" s="42" t="n">
        <v>3</v>
      </c>
      <c r="B6" s="42" t="inlineStr">
        <is>
          <t>実施設計図 内装監理室承認・製作図作成/承認</t>
        </is>
      </c>
      <c r="C6" s="25" t="n"/>
      <c r="D6" s="25" t="n"/>
      <c r="E6" s="25" t="n"/>
      <c r="F6" s="43" t="n"/>
      <c r="G6" s="43" t="n"/>
      <c r="H6" s="43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</row>
    <row r="7">
      <c r="A7" s="42" t="n">
        <v>4</v>
      </c>
      <c r="B7" s="42" t="inlineStr">
        <is>
          <t>照明器具・分電盤 発注〜納品（盤製作 約5週）</t>
        </is>
      </c>
      <c r="C7" s="25" t="n"/>
      <c r="D7" s="25" t="n"/>
      <c r="E7" s="25" t="n"/>
      <c r="F7" s="25" t="n"/>
      <c r="G7" s="43" t="n"/>
      <c r="H7" s="43" t="n"/>
      <c r="I7" s="43" t="n"/>
      <c r="J7" s="43" t="n"/>
      <c r="K7" s="43" t="n"/>
      <c r="L7" s="43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</row>
    <row r="8">
      <c r="A8" s="42" t="n">
        <v>5</v>
      </c>
      <c r="B8" s="42" t="inlineStr">
        <is>
          <t>建具・造作家具・ミラー・サイン 工場製作</t>
        </is>
      </c>
      <c r="C8" s="25" t="n"/>
      <c r="D8" s="25" t="n"/>
      <c r="E8" s="25" t="n"/>
      <c r="F8" s="25" t="n"/>
      <c r="G8" s="25" t="n"/>
      <c r="H8" s="25" t="n"/>
      <c r="I8" s="43" t="n"/>
      <c r="J8" s="43" t="n"/>
      <c r="K8" s="43" t="n"/>
      <c r="L8" s="43" t="n"/>
      <c r="M8" s="43" t="n"/>
      <c r="N8" s="43" t="n"/>
      <c r="O8" s="25" t="n"/>
      <c r="P8" s="25" t="n"/>
      <c r="Q8" s="25" t="n"/>
      <c r="R8" s="25" t="n"/>
      <c r="S8" s="25" t="n"/>
      <c r="T8" s="25" t="n"/>
      <c r="U8" s="25" t="n"/>
      <c r="V8" s="25" t="n"/>
    </row>
    <row r="9">
      <c r="A9" s="42" t="n">
        <v>6</v>
      </c>
      <c r="B9" s="42" t="inlineStr">
        <is>
          <t>施工承認申請（様式1〜9：着工10日前）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4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</row>
    <row r="10">
      <c r="A10" s="42" t="n">
        <v>7</v>
      </c>
      <c r="B10" s="42" t="inlineStr">
        <is>
          <t>着工届・作業員名簿・A/B工事引渡し確認（7日前）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45" t="n"/>
      <c r="O10" s="25" t="n"/>
      <c r="P10" s="25" t="n"/>
      <c r="Q10" s="25" t="n"/>
      <c r="R10" s="25" t="n"/>
      <c r="S10" s="25" t="n"/>
      <c r="T10" s="25" t="n"/>
      <c r="U10" s="25" t="n"/>
      <c r="V10" s="25" t="n"/>
    </row>
    <row r="11">
      <c r="A11" s="42" t="n">
        <v>8</v>
      </c>
      <c r="B11" s="42" t="inlineStr">
        <is>
          <t>C工事 施工（40夜）</t>
        </is>
      </c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43" t="n"/>
      <c r="P11" s="43" t="n"/>
      <c r="Q11" s="43" t="n"/>
      <c r="R11" s="43" t="n"/>
      <c r="S11" s="43" t="n"/>
      <c r="T11" s="43" t="n"/>
      <c r="U11" s="43" t="n"/>
      <c r="V11" s="25" t="n"/>
    </row>
    <row r="12">
      <c r="A12" s="42" t="n">
        <v>9</v>
      </c>
      <c r="B12" s="42" t="inlineStr">
        <is>
          <t>内装監理室検査・消防検査</t>
        </is>
      </c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45" t="n"/>
      <c r="V12" s="25" t="n"/>
    </row>
    <row r="13">
      <c r="A13" s="42" t="n">
        <v>10</v>
      </c>
      <c r="B13" s="42" t="inlineStr">
        <is>
          <t>引渡し・商品搬入・開店準備（GU様）</t>
        </is>
      </c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46" t="n"/>
      <c r="V13" s="46" t="n"/>
    </row>
    <row r="14">
      <c r="A14" s="42" t="n">
        <v>11</v>
      </c>
      <c r="B14" s="42" t="inlineStr">
        <is>
          <t>竣工図・竣工写真・シックハウス書類提出（竣工後1ヶ月以内）</t>
        </is>
      </c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45" t="n"/>
      <c r="V14" s="45" t="n"/>
    </row>
    <row r="16">
      <c r="B16" s="38" t="inlineStr">
        <is>
          <t>※ 年末年始（12/28〜1/4）は館の工事休止を想定し、着工を1/12とした。</t>
        </is>
      </c>
    </row>
  </sheetData>
  <pageMargins left="0.75" right="0.75" top="1" bottom="1" header="0.5" footer="0.5"/>
  <pageSetup orientation="landscape" paperSize="9" fitToHeight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2026-10-21T08:20:57Z</dcterms:created>
  <dcterms:modified xmlns:dcterms="http://purl.org/dc/terms/" xmlns:xsi="http://www.w3.org/2001/XMLSchema-instance" xsi:type="dcterms:W3CDTF">2026-10-21T08:20:57Z</dcterms:modified>
</cp:coreProperties>
</file>