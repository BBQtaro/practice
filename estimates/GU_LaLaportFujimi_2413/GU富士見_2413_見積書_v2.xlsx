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  <sheet xmlns:r="http://schemas.openxmlformats.org/officeDocument/2006/relationships" name="内訳書" sheetId="2" state="visible" r:id="rId2"/>
    <sheet xmlns:r="http://schemas.openxmlformats.org/officeDocument/2006/relationships" name="明細書" sheetId="3" state="visible" r:id="rId3"/>
  </sheets>
  <definedNames>
    <definedName name="_xlnm.Print_Titles" localSheetId="2">'明細書'!$4:$4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年m月d日"/>
    <numFmt numFmtId="167" formatCode="&quot;¥&quot;#,##0&quot;-&quot;"/>
    <numFmt numFmtId="168" formatCode="&quot;¥&quot;#,##0"/>
  </numFmts>
  <fonts count="9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sz val="10"/>
    </font>
    <font>
      <name val="游ゴシック"/>
      <sz val="9"/>
    </font>
    <font>
      <name val="游ゴシック"/>
      <b val="1"/>
      <sz val="9"/>
    </font>
    <font>
      <name val="游ゴシック"/>
      <sz val="10"/>
    </font>
    <font>
      <name val="游ゴシック"/>
      <b val="1"/>
      <sz val="22"/>
    </font>
    <font>
      <name val="游ゴシック"/>
      <b val="1"/>
      <sz val="12"/>
    </font>
    <font>
      <name val="游ゴシック"/>
      <b val="1"/>
      <sz val="18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bottom style="medium"/>
    </border>
    <border>
      <bottom style="double"/>
    </border>
    <border>
      <bottom style="thin">
        <color rgb="0080808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166" fontId="5" fillId="0" borderId="0" pivotButton="0" quotePrefix="0" xfId="0"/>
    <xf numFmtId="0" fontId="1" fillId="0" borderId="2" pivotButton="0" quotePrefix="0" xfId="0"/>
    <xf numFmtId="0" fontId="7" fillId="0" borderId="0" pivotButton="0" quotePrefix="0" xfId="0"/>
    <xf numFmtId="167" fontId="8" fillId="0" borderId="3" pivotButton="0" quotePrefix="0" xfId="0"/>
    <xf numFmtId="168" fontId="5" fillId="0" borderId="0" pivotButton="0" quotePrefix="0" xfId="0"/>
    <xf numFmtId="0" fontId="2" fillId="0" borderId="4" pivotButton="0" quotePrefix="0" xfId="0"/>
    <xf numFmtId="0" fontId="5" fillId="0" borderId="4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3" fontId="0" fillId="0" borderId="0" pivotButton="0" quotePrefix="0" xfId="0"/>
    <xf numFmtId="0" fontId="2" fillId="3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3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2" t="inlineStr">
        <is>
          <t>御 見 積 書</t>
        </is>
      </c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inlineStr">
        <is>
          <t>見積No.</t>
        </is>
      </c>
      <c r="G4" s="1" t="inlineStr">
        <is>
          <t>2413-002</t>
        </is>
      </c>
    </row>
    <row r="5">
      <c r="A5" s="1" t="n"/>
      <c r="B5" s="1" t="n"/>
      <c r="C5" s="1" t="n"/>
      <c r="D5" s="1" t="n"/>
      <c r="E5" s="1" t="n"/>
      <c r="F5" s="1" t="inlineStr">
        <is>
          <t>発行日</t>
        </is>
      </c>
      <c r="G5" s="3" t="n">
        <v>46316</v>
      </c>
    </row>
    <row r="6">
      <c r="A6" s="1" t="n"/>
      <c r="B6" s="4" t="inlineStr">
        <is>
          <t>株式会社ジーユー　御中</t>
        </is>
      </c>
      <c r="C6" s="1" t="n"/>
      <c r="D6" s="1" t="n"/>
      <c r="E6" s="1" t="n"/>
      <c r="F6" s="1" t="n"/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>
      <c r="A8" s="1" t="n"/>
      <c r="B8" s="1" t="inlineStr">
        <is>
          <t>下記のとおり御見積申し上げます。</t>
        </is>
      </c>
      <c r="C8" s="1" t="n"/>
      <c r="D8" s="1" t="n"/>
      <c r="E8" s="1" t="n"/>
      <c r="F8" s="1" t="n"/>
      <c r="G8" s="1" t="n"/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1" t="n"/>
      <c r="B10" s="5" t="inlineStr">
        <is>
          <t>御見積金額（税込）</t>
        </is>
      </c>
      <c r="C10" s="6">
        <f>内訳書!C24</f>
        <v/>
      </c>
      <c r="D10" s="1" t="n"/>
      <c r="E10" s="1" t="n"/>
      <c r="F10" s="1" t="n"/>
      <c r="G10" s="1" t="n"/>
    </row>
    <row r="11">
      <c r="A11" s="1" t="n"/>
      <c r="B11" s="1" t="inlineStr">
        <is>
          <t>（税抜金額）</t>
        </is>
      </c>
      <c r="C11" s="7">
        <f>内訳書!C22</f>
        <v/>
      </c>
      <c r="D11" s="1" t="inlineStr">
        <is>
          <t>消費税</t>
        </is>
      </c>
      <c r="E11" s="7">
        <f>内訳書!C23</f>
        <v/>
      </c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>
      <c r="A13" s="1" t="n"/>
      <c r="B13" s="8" t="inlineStr">
        <is>
          <t>工事名称</t>
        </is>
      </c>
      <c r="C13" s="9" t="inlineStr">
        <is>
          <t>GU ららぽーと富士見店 新装工事（C工事）</t>
        </is>
      </c>
      <c r="D13" s="9" t="n"/>
      <c r="E13" s="9" t="n"/>
      <c r="F13" s="9" t="n"/>
      <c r="G13" s="9" t="n"/>
    </row>
    <row r="14">
      <c r="A14" s="1" t="n"/>
      <c r="B14" s="8" t="inlineStr">
        <is>
          <t>工事場所</t>
        </is>
      </c>
      <c r="C14" s="9" t="inlineStr">
        <is>
          <t>埼玉県富士見市山室1-1313 ららぽーと富士見 2F 2413区画</t>
        </is>
      </c>
      <c r="D14" s="9" t="n"/>
      <c r="E14" s="9" t="n"/>
      <c r="F14" s="9" t="n"/>
      <c r="G14" s="9" t="n"/>
    </row>
    <row r="15">
      <c r="A15" s="1" t="n"/>
      <c r="B15" s="8" t="inlineStr">
        <is>
          <t>面積</t>
        </is>
      </c>
      <c r="C15" s="9" t="inlineStr">
        <is>
          <t>1,064.0㎡（約322坪）　CH=3,750</t>
        </is>
      </c>
      <c r="D15" s="9" t="n"/>
      <c r="E15" s="9" t="n"/>
      <c r="F15" s="9" t="n"/>
      <c r="G15" s="9" t="n"/>
    </row>
    <row r="16">
      <c r="A16" s="1" t="n"/>
      <c r="B16" s="8" t="inlineStr">
        <is>
          <t>工期</t>
        </is>
      </c>
      <c r="C16" s="9" t="inlineStr">
        <is>
          <t>2027年01月12日着工〜40夜（夜間工事）※内装監理室の工程調整による</t>
        </is>
      </c>
      <c r="D16" s="9" t="n"/>
      <c r="E16" s="9" t="n"/>
      <c r="F16" s="9" t="n"/>
      <c r="G16" s="9" t="n"/>
    </row>
    <row r="17">
      <c r="A17" s="1" t="n"/>
      <c r="B17" s="8" t="inlineStr">
        <is>
          <t>支払条件</t>
        </is>
      </c>
      <c r="C17" s="9" t="inlineStr">
        <is>
          <t>完了時一括（別途協議）</t>
        </is>
      </c>
      <c r="D17" s="9" t="n"/>
      <c r="E17" s="9" t="n"/>
      <c r="F17" s="9" t="n"/>
      <c r="G17" s="9" t="n"/>
    </row>
    <row r="18">
      <c r="A18" s="1" t="n"/>
      <c r="B18" s="8" t="inlineStr">
        <is>
          <t>見積有効期限</t>
        </is>
      </c>
      <c r="C18" s="9" t="inlineStr">
        <is>
          <t>発行日より3ヶ月</t>
        </is>
      </c>
      <c r="D18" s="9" t="n"/>
      <c r="E18" s="9" t="n"/>
      <c r="F18" s="9" t="n"/>
      <c r="G18" s="9" t="n"/>
    </row>
    <row r="19">
      <c r="A19" s="1" t="n"/>
      <c r="B19" s="1" t="n"/>
      <c r="C19" s="1" t="n"/>
      <c r="D19" s="1" t="n"/>
      <c r="E19" s="1" t="n"/>
      <c r="F19" s="1" t="n"/>
      <c r="G19" s="1" t="n"/>
    </row>
    <row r="20">
      <c r="A20" s="1" t="n"/>
      <c r="B20" s="1" t="n"/>
      <c r="C20" s="1" t="n"/>
      <c r="D20" s="1" t="n"/>
      <c r="E20" s="1" t="inlineStr">
        <is>
          <t>株式会社スペース</t>
        </is>
      </c>
      <c r="F20" s="1" t="n"/>
      <c r="G20" s="1" t="n"/>
    </row>
    <row r="21">
      <c r="A21" s="1" t="n"/>
      <c r="B21" s="1" t="n"/>
      <c r="C21" s="1" t="n"/>
      <c r="D21" s="1" t="n"/>
      <c r="E21" s="1" t="inlineStr">
        <is>
          <t>（住所・電話）</t>
        </is>
      </c>
      <c r="F21" s="1" t="n"/>
      <c r="G21" s="1" t="n"/>
    </row>
    <row r="22">
      <c r="A22" s="1" t="n"/>
      <c r="B22" s="1" t="n"/>
      <c r="C22" s="1" t="n"/>
      <c r="D22" s="1" t="n"/>
      <c r="E22" s="1" t="inlineStr">
        <is>
          <t>担当：</t>
        </is>
      </c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0" t="inlineStr">
        <is>
          <t>【別途工事・見積除外】</t>
        </is>
      </c>
      <c r="C24" s="1" t="n"/>
      <c r="D24" s="1" t="n"/>
      <c r="E24" s="1" t="n"/>
      <c r="F24" s="1" t="n"/>
      <c r="G24" s="1" t="n"/>
    </row>
    <row r="25" ht="30" customHeight="1">
      <c r="A25" s="1" t="n"/>
      <c r="B25" s="11" t="inlineStr">
        <is>
          <t>・GU支給品</t>
        </is>
      </c>
      <c r="C25" s="12" t="inlineStr">
        <is>
          <t>照明器具・ランプ、床塩ビタイル材、アルミシート材、レジ・サービス・バックカウンター、壁面・中央什器、LEDサイン類、金庫、スタンド照明</t>
        </is>
      </c>
      <c r="D25" s="1" t="n"/>
      <c r="E25" s="1" t="n"/>
      <c r="F25" s="1" t="n"/>
      <c r="G25" s="1" t="n"/>
    </row>
    <row r="26" ht="30" customHeight="1">
      <c r="A26" s="1" t="n"/>
      <c r="B26" s="11" t="inlineStr">
        <is>
          <t>・B工事・指定会社</t>
        </is>
      </c>
      <c r="C26" s="12" t="inlineStr">
        <is>
          <t>空調・換気・防災設備の増移設、排煙SW移設、カットリレー信号線、電話（NTT）、POS、有線（USEN）、機械警備</t>
        </is>
      </c>
      <c r="D26" s="1" t="n"/>
      <c r="E26" s="1" t="n"/>
      <c r="F26" s="1" t="n"/>
      <c r="G26" s="1" t="n"/>
    </row>
    <row r="27" ht="30" customHeight="1">
      <c r="A27" s="1" t="n"/>
      <c r="B27" s="11" t="inlineStr">
        <is>
          <t>・その他</t>
        </is>
      </c>
      <c r="C27" s="12" t="inlineStr">
        <is>
          <t>施設負担金、設計・監理費、サッシ面遮光シート、店頭サッシ撤去（工事区分 要確認）、図面にない追加・変更工事</t>
        </is>
      </c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0" t="inlineStr">
        <is>
          <t>【見積条件】</t>
        </is>
      </c>
      <c r="C29" s="1" t="n"/>
      <c r="D29" s="1" t="n"/>
      <c r="E29" s="1" t="n"/>
      <c r="F29" s="1" t="n"/>
      <c r="G29" s="1" t="n"/>
    </row>
    <row r="30" ht="26" customHeight="1">
      <c r="A30" s="1" t="n"/>
      <c r="B30" s="12" t="inlineStr">
        <is>
          <t>・単価は2021年1月の同物件実績（売価）に物価補正係数 K=1.25 を掛けた2026年水準の概算です。</t>
        </is>
      </c>
      <c r="C30" s="1" t="n"/>
      <c r="D30" s="1" t="n"/>
      <c r="E30" s="1" t="n"/>
      <c r="F30" s="1" t="n"/>
      <c r="G30" s="1" t="n"/>
    </row>
    <row r="31" ht="26" customHeight="1">
      <c r="A31" s="1" t="n"/>
      <c r="B31" s="12" t="inlineStr">
        <is>
          <t>・数量は図面（照明器具表・盤図・建具表・フロアマップ）と同物件の実績数量を併用しました。根拠は拾い出し根拠資料を参照。</t>
        </is>
      </c>
      <c r="C31" s="1" t="n"/>
      <c r="D31" s="1" t="n"/>
      <c r="E31" s="1" t="n"/>
      <c r="F31" s="1" t="n"/>
      <c r="G31" s="1" t="n"/>
    </row>
    <row r="32" ht="26" customHeight="1">
      <c r="A32" s="1" t="n"/>
      <c r="B32" s="12" t="inlineStr">
        <is>
          <t>・作業は館ルールにより22:00〜07:00の夜間のみ（残業不可・溶接不可・搬入4t車まで）。</t>
        </is>
      </c>
      <c r="C32" s="1" t="n"/>
      <c r="D32" s="1" t="n"/>
      <c r="E32" s="1" t="n"/>
      <c r="F32" s="1" t="n"/>
      <c r="G32" s="1" t="n"/>
    </row>
  </sheetData>
  <mergeCells count="15">
    <mergeCell ref="B2:G2"/>
    <mergeCell ref="C16:G16"/>
    <mergeCell ref="C18:G18"/>
    <mergeCell ref="C15:G15"/>
    <mergeCell ref="B30:G30"/>
    <mergeCell ref="C25:G25"/>
    <mergeCell ref="C26:G26"/>
    <mergeCell ref="C27:G27"/>
    <mergeCell ref="B31:G31"/>
    <mergeCell ref="B32:G32"/>
    <mergeCell ref="C14:G14"/>
    <mergeCell ref="C13:G13"/>
    <mergeCell ref="B6:D6"/>
    <mergeCell ref="C17:G17"/>
    <mergeCell ref="C10:E10"/>
  </mergeCells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6" customWidth="1" min="3" max="3"/>
    <col width="9" customWidth="1" min="4" max="4"/>
  </cols>
  <sheetData>
    <row r="1">
      <c r="A1" s="13" t="inlineStr">
        <is>
          <t>工事費内訳書</t>
        </is>
      </c>
    </row>
    <row r="2">
      <c r="A2" t="inlineStr">
        <is>
          <t>GU ららぽーと富士見店（2413区画）内装C工事</t>
        </is>
      </c>
    </row>
    <row r="4">
      <c r="A4" s="14" t="inlineStr">
        <is>
          <t>No</t>
        </is>
      </c>
      <c r="B4" s="14" t="inlineStr">
        <is>
          <t>工種</t>
        </is>
      </c>
      <c r="C4" s="14" t="inlineStr">
        <is>
          <t>金額</t>
        </is>
      </c>
      <c r="D4" s="14" t="inlineStr">
        <is>
          <t>構成比</t>
        </is>
      </c>
    </row>
    <row r="5">
      <c r="A5" s="15" t="inlineStr">
        <is>
          <t>01</t>
        </is>
      </c>
      <c r="B5" s="15" t="inlineStr">
        <is>
          <t>仮設工事</t>
        </is>
      </c>
      <c r="C5" s="16">
        <f>明細書!G22</f>
        <v/>
      </c>
      <c r="D5" s="17">
        <f>C5/C20</f>
        <v/>
      </c>
    </row>
    <row r="6">
      <c r="A6" s="15" t="inlineStr">
        <is>
          <t>02</t>
        </is>
      </c>
      <c r="B6" s="15" t="inlineStr">
        <is>
          <t>軽鉄・ボード工事</t>
        </is>
      </c>
      <c r="C6" s="16">
        <f>明細書!G47</f>
        <v/>
      </c>
      <c r="D6" s="17">
        <f>C6/C20</f>
        <v/>
      </c>
    </row>
    <row r="7">
      <c r="A7" s="15" t="inlineStr">
        <is>
          <t>03</t>
        </is>
      </c>
      <c r="B7" s="15" t="inlineStr">
        <is>
          <t>床タイル工事</t>
        </is>
      </c>
      <c r="C7" s="16">
        <f>明細書!G57</f>
        <v/>
      </c>
      <c r="D7" s="17">
        <f>C7/C20</f>
        <v/>
      </c>
    </row>
    <row r="8">
      <c r="A8" s="15" t="inlineStr">
        <is>
          <t>04</t>
        </is>
      </c>
      <c r="B8" s="15" t="inlineStr">
        <is>
          <t>塗装工事</t>
        </is>
      </c>
      <c r="C8" s="16">
        <f>明細書!G68</f>
        <v/>
      </c>
      <c r="D8" s="17">
        <f>C8/C20</f>
        <v/>
      </c>
    </row>
    <row r="9">
      <c r="A9" s="15" t="inlineStr">
        <is>
          <t>05</t>
        </is>
      </c>
      <c r="B9" s="15" t="inlineStr">
        <is>
          <t>内装仕上げ工事</t>
        </is>
      </c>
      <c r="C9" s="16">
        <f>明細書!G87</f>
        <v/>
      </c>
      <c r="D9" s="17">
        <f>C9/C20</f>
        <v/>
      </c>
    </row>
    <row r="10">
      <c r="A10" s="15" t="inlineStr">
        <is>
          <t>06</t>
        </is>
      </c>
      <c r="B10" s="15" t="inlineStr">
        <is>
          <t>金物工事</t>
        </is>
      </c>
      <c r="C10" s="16">
        <f>明細書!G100</f>
        <v/>
      </c>
      <c r="D10" s="17">
        <f>C10/C20</f>
        <v/>
      </c>
    </row>
    <row r="11">
      <c r="A11" s="15" t="inlineStr">
        <is>
          <t>07</t>
        </is>
      </c>
      <c r="B11" s="15" t="inlineStr">
        <is>
          <t>木工造作工事</t>
        </is>
      </c>
      <c r="C11" s="16">
        <f>明細書!G110</f>
        <v/>
      </c>
      <c r="D11" s="17">
        <f>C11/C20</f>
        <v/>
      </c>
    </row>
    <row r="12">
      <c r="A12" s="15" t="inlineStr">
        <is>
          <t>08</t>
        </is>
      </c>
      <c r="B12" s="15" t="inlineStr">
        <is>
          <t>建具工事</t>
        </is>
      </c>
      <c r="C12" s="16">
        <f>明細書!G123</f>
        <v/>
      </c>
      <c r="D12" s="17">
        <f>C12/C20</f>
        <v/>
      </c>
    </row>
    <row r="13">
      <c r="A13" s="15" t="inlineStr">
        <is>
          <t>09</t>
        </is>
      </c>
      <c r="B13" s="15" t="inlineStr">
        <is>
          <t>ガラス工事</t>
        </is>
      </c>
      <c r="C13" s="16">
        <f>明細書!G135</f>
        <v/>
      </c>
      <c r="D13" s="17">
        <f>C13/C20</f>
        <v/>
      </c>
    </row>
    <row r="14">
      <c r="A14" s="15" t="inlineStr">
        <is>
          <t>10</t>
        </is>
      </c>
      <c r="B14" s="15" t="inlineStr">
        <is>
          <t>サイン工事</t>
        </is>
      </c>
      <c r="C14" s="16">
        <f>明細書!G150</f>
        <v/>
      </c>
      <c r="D14" s="17">
        <f>C14/C20</f>
        <v/>
      </c>
    </row>
    <row r="15">
      <c r="A15" s="15" t="inlineStr">
        <is>
          <t>11</t>
        </is>
      </c>
      <c r="B15" s="15" t="inlineStr">
        <is>
          <t>照明・電気工事</t>
        </is>
      </c>
      <c r="C15" s="16">
        <f>明細書!G171</f>
        <v/>
      </c>
      <c r="D15" s="17">
        <f>C15/C20</f>
        <v/>
      </c>
    </row>
    <row r="16">
      <c r="A16" s="15" t="inlineStr">
        <is>
          <t>12</t>
        </is>
      </c>
      <c r="B16" s="15" t="inlineStr">
        <is>
          <t>標準化項目（GU標準仕様）</t>
        </is>
      </c>
      <c r="C16" s="16">
        <f>明細書!G184</f>
        <v/>
      </c>
      <c r="D16" s="17">
        <f>C16/C20</f>
        <v/>
      </c>
    </row>
    <row r="17">
      <c r="A17" s="15" t="inlineStr">
        <is>
          <t>13</t>
        </is>
      </c>
      <c r="B17" s="15" t="inlineStr">
        <is>
          <t>夜間工事費</t>
        </is>
      </c>
      <c r="C17" s="16">
        <f>明細書!G189</f>
        <v/>
      </c>
      <c r="D17" s="17">
        <f>C17/C20</f>
        <v/>
      </c>
    </row>
    <row r="18">
      <c r="A18" s="15" t="inlineStr">
        <is>
          <t>14</t>
        </is>
      </c>
      <c r="B18" s="15" t="inlineStr">
        <is>
          <t>付帯工事</t>
        </is>
      </c>
      <c r="C18" s="16">
        <f>明細書!G195</f>
        <v/>
      </c>
      <c r="D18" s="17">
        <f>C18/C20</f>
        <v/>
      </c>
    </row>
    <row r="19">
      <c r="A19" s="15" t="inlineStr">
        <is>
          <t>15</t>
        </is>
      </c>
      <c r="B19" s="15" t="inlineStr">
        <is>
          <t>諸経費</t>
        </is>
      </c>
      <c r="C19" s="16">
        <f>明細書!G205</f>
        <v/>
      </c>
      <c r="D19" s="17">
        <f>C19/C20</f>
        <v/>
      </c>
    </row>
    <row r="20">
      <c r="A20" s="15" t="n"/>
      <c r="B20" s="15" t="inlineStr">
        <is>
          <t>小計</t>
        </is>
      </c>
      <c r="C20" s="16">
        <f>SUM(C5:C19)</f>
        <v/>
      </c>
      <c r="D20" s="15" t="n"/>
    </row>
    <row r="21">
      <c r="A21" s="15" t="n"/>
      <c r="B21" s="15" t="inlineStr">
        <is>
          <t>端数調整</t>
        </is>
      </c>
      <c r="C21" s="16">
        <f>-MOD(C20,10000)</f>
        <v/>
      </c>
      <c r="D21" s="15" t="n"/>
    </row>
    <row r="22">
      <c r="A22" s="15" t="n"/>
      <c r="B22" s="18" t="inlineStr">
        <is>
          <t>税抜合計</t>
        </is>
      </c>
      <c r="C22" s="19">
        <f>C20+C21</f>
        <v/>
      </c>
      <c r="D22" s="15" t="n"/>
    </row>
    <row r="23">
      <c r="A23" s="15" t="n"/>
      <c r="B23" s="15" t="inlineStr">
        <is>
          <t>消費税（10%）</t>
        </is>
      </c>
      <c r="C23" s="16">
        <f>ROUNDDOWN(C22*0.1,0)</f>
        <v/>
      </c>
      <c r="D23" s="15" t="n"/>
    </row>
    <row r="24">
      <c r="A24" s="15" t="n"/>
      <c r="B24" s="18" t="inlineStr">
        <is>
          <t>税込合計</t>
        </is>
      </c>
      <c r="C24" s="19">
        <f>C22+C23</f>
        <v/>
      </c>
      <c r="D24" s="15" t="n"/>
    </row>
    <row r="26">
      <c r="B26" s="1" t="inlineStr">
        <is>
          <t>㎡単価（税抜・1,064㎡）</t>
        </is>
      </c>
      <c r="C26" s="20">
        <f>ROUND(C22/1064.0,0)</f>
        <v/>
      </c>
    </row>
    <row r="27">
      <c r="B27" s="1" t="inlineStr">
        <is>
          <t>坪単価（税抜）</t>
        </is>
      </c>
      <c r="C27" s="20">
        <f>ROUND(C22/(1064.0/3.30579),0)</f>
        <v/>
      </c>
    </row>
    <row r="28">
      <c r="B28" s="1" t="inlineStr">
        <is>
          <t>参考：2021年実績（税抜）</t>
        </is>
      </c>
      <c r="C28" s="20" t="n">
        <v>42760000</v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2" customWidth="1" min="3" max="3"/>
    <col width="9" customWidth="1" min="4" max="4"/>
    <col width="6" customWidth="1" min="5" max="5"/>
    <col width="11" customWidth="1" min="6" max="6"/>
    <col width="13" customWidth="1" min="7" max="7"/>
    <col width="30" customWidth="1" min="8" max="8"/>
  </cols>
  <sheetData>
    <row r="1">
      <c r="A1" s="13" t="inlineStr">
        <is>
          <t>工事費内訳明細書</t>
        </is>
      </c>
    </row>
    <row r="2">
      <c r="A2" t="inlineStr">
        <is>
          <t>GU ららぽーと富士見店（2413区画）内装C工事</t>
        </is>
      </c>
    </row>
    <row r="4">
      <c r="A4" s="14" t="inlineStr">
        <is>
          <t>No</t>
        </is>
      </c>
      <c r="B4" s="14" t="inlineStr">
        <is>
          <t>名称</t>
        </is>
      </c>
      <c r="C4" s="14" t="inlineStr">
        <is>
          <t>仕様・摘要</t>
        </is>
      </c>
      <c r="D4" s="14" t="inlineStr">
        <is>
          <t>数量</t>
        </is>
      </c>
      <c r="E4" s="14" t="inlineStr">
        <is>
          <t>単位</t>
        </is>
      </c>
      <c r="F4" s="14" t="inlineStr">
        <is>
          <t>単価</t>
        </is>
      </c>
      <c r="G4" s="14" t="inlineStr">
        <is>
          <t>金額</t>
        </is>
      </c>
      <c r="H4" s="14" t="inlineStr">
        <is>
          <t>備考</t>
        </is>
      </c>
    </row>
    <row r="5">
      <c r="A5" s="21" t="inlineStr">
        <is>
          <t>01 仮設工事</t>
        </is>
      </c>
    </row>
    <row r="6">
      <c r="A6" s="22" t="n">
        <v>1</v>
      </c>
      <c r="B6" s="23" t="inlineStr">
        <is>
          <t>墨出し</t>
        </is>
      </c>
      <c r="C6" s="23" t="inlineStr">
        <is>
          <t>事前床レベル墨出し含む</t>
        </is>
      </c>
      <c r="D6" s="24" t="n">
        <v>1064</v>
      </c>
      <c r="E6" s="22" t="inlineStr">
        <is>
          <t>㎡</t>
        </is>
      </c>
      <c r="F6" s="24" t="n">
        <v>120</v>
      </c>
      <c r="G6" s="24">
        <f>ROUND(D6*F6,0)</f>
        <v/>
      </c>
      <c r="H6" s="23" t="inlineStr">
        <is>
          <t>照明器具表 床面積1,064㎡</t>
        </is>
      </c>
    </row>
    <row r="7">
      <c r="A7" s="22" t="n">
        <v>2</v>
      </c>
      <c r="B7" s="23" t="inlineStr">
        <is>
          <t>現場養生</t>
        </is>
      </c>
      <c r="C7" s="23" t="inlineStr"/>
      <c r="D7" s="24" t="n">
        <v>1064</v>
      </c>
      <c r="E7" s="22" t="inlineStr">
        <is>
          <t>㎡</t>
        </is>
      </c>
      <c r="F7" s="24" t="n">
        <v>120</v>
      </c>
      <c r="G7" s="24">
        <f>ROUND(D7*F7,0)</f>
        <v/>
      </c>
      <c r="H7" s="23" t="inlineStr">
        <is>
          <t>同上</t>
        </is>
      </c>
    </row>
    <row r="8">
      <c r="A8" s="22" t="n">
        <v>3</v>
      </c>
      <c r="B8" s="23" t="inlineStr">
        <is>
          <t>清掃片付け</t>
        </is>
      </c>
      <c r="C8" s="23" t="inlineStr">
        <is>
          <t>日々</t>
        </is>
      </c>
      <c r="D8" s="24" t="n">
        <v>1064</v>
      </c>
      <c r="E8" s="22" t="inlineStr">
        <is>
          <t>㎡</t>
        </is>
      </c>
      <c r="F8" s="24" t="n">
        <v>120</v>
      </c>
      <c r="G8" s="24">
        <f>ROUND(D8*F8,0)</f>
        <v/>
      </c>
      <c r="H8" s="23" t="inlineStr">
        <is>
          <t>同上</t>
        </is>
      </c>
    </row>
    <row r="9">
      <c r="A9" s="22" t="n">
        <v>4</v>
      </c>
      <c r="B9" s="23" t="inlineStr">
        <is>
          <t>場内小運搬</t>
        </is>
      </c>
      <c r="C9" s="23" t="inlineStr"/>
      <c r="D9" s="24" t="n">
        <v>1064</v>
      </c>
      <c r="E9" s="22" t="inlineStr">
        <is>
          <t>㎡</t>
        </is>
      </c>
      <c r="F9" s="24" t="n">
        <v>120</v>
      </c>
      <c r="G9" s="24">
        <f>ROUND(D9*F9,0)</f>
        <v/>
      </c>
      <c r="H9" s="23" t="inlineStr">
        <is>
          <t>同上</t>
        </is>
      </c>
    </row>
    <row r="10">
      <c r="A10" s="22" t="n">
        <v>5</v>
      </c>
      <c r="B10" s="23" t="inlineStr">
        <is>
          <t>引渡し清掃</t>
        </is>
      </c>
      <c r="C10" s="23" t="inlineStr"/>
      <c r="D10" s="24" t="n">
        <v>1064</v>
      </c>
      <c r="E10" s="22" t="inlineStr">
        <is>
          <t>㎡</t>
        </is>
      </c>
      <c r="F10" s="24" t="n">
        <v>380</v>
      </c>
      <c r="G10" s="24">
        <f>ROUND(D10*F10,0)</f>
        <v/>
      </c>
      <c r="H10" s="23" t="inlineStr">
        <is>
          <t>同上</t>
        </is>
      </c>
    </row>
    <row r="11">
      <c r="A11" s="22" t="n">
        <v>6</v>
      </c>
      <c r="B11" s="23" t="inlineStr">
        <is>
          <t>発生残材処分</t>
        </is>
      </c>
      <c r="C11" s="23" t="inlineStr"/>
      <c r="D11" s="24" t="n">
        <v>40</v>
      </c>
      <c r="E11" s="22" t="inlineStr">
        <is>
          <t>m3</t>
        </is>
      </c>
      <c r="F11" s="24" t="n">
        <v>10500</v>
      </c>
      <c r="G11" s="24">
        <f>ROUND(D11*F11,0)</f>
        <v/>
      </c>
      <c r="H11" s="23" t="inlineStr"/>
    </row>
    <row r="12">
      <c r="A12" s="22" t="n">
        <v>7</v>
      </c>
      <c r="B12" s="23" t="inlineStr">
        <is>
          <t>搬出入路・ELV養生</t>
        </is>
      </c>
      <c r="C12" s="23" t="inlineStr">
        <is>
          <t>日々掛け払い 100m×2人</t>
        </is>
      </c>
      <c r="D12" s="24" t="n">
        <v>12</v>
      </c>
      <c r="E12" s="22" t="inlineStr">
        <is>
          <t>回</t>
        </is>
      </c>
      <c r="F12" s="24" t="n">
        <v>18800</v>
      </c>
      <c r="G12" s="24">
        <f>ROUND(D12*F12,0)</f>
        <v/>
      </c>
      <c r="H12" s="23" t="inlineStr"/>
    </row>
    <row r="13">
      <c r="A13" s="22" t="n">
        <v>8</v>
      </c>
      <c r="B13" s="23" t="inlineStr">
        <is>
          <t>ロール養生材</t>
        </is>
      </c>
      <c r="C13" s="23" t="inlineStr">
        <is>
          <t>100m巻</t>
        </is>
      </c>
      <c r="D13" s="24" t="n">
        <v>12</v>
      </c>
      <c r="E13" s="22" t="inlineStr">
        <is>
          <t>本</t>
        </is>
      </c>
      <c r="F13" s="24" t="n">
        <v>6250</v>
      </c>
      <c r="G13" s="24">
        <f>ROUND(D13*F13,0)</f>
        <v/>
      </c>
      <c r="H13" s="23" t="inlineStr"/>
    </row>
    <row r="14">
      <c r="A14" s="22" t="n">
        <v>9</v>
      </c>
      <c r="B14" s="23" t="inlineStr">
        <is>
          <t>搬出入床コンパネ養生</t>
        </is>
      </c>
      <c r="C14" s="23" t="inlineStr">
        <is>
          <t>160m</t>
        </is>
      </c>
      <c r="D14" s="24" t="n">
        <v>1</v>
      </c>
      <c r="E14" s="22" t="inlineStr">
        <is>
          <t>式</t>
        </is>
      </c>
      <c r="F14" s="24" t="n">
        <v>312500</v>
      </c>
      <c r="G14" s="24">
        <f>ROUND(D14*F14,0)</f>
        <v/>
      </c>
      <c r="H14" s="23" t="inlineStr">
        <is>
          <t>施工指針書：300kg以上は9mmポリプレート＋コンパネ</t>
        </is>
      </c>
    </row>
    <row r="15">
      <c r="A15" s="22" t="n">
        <v>10</v>
      </c>
      <c r="B15" s="23" t="inlineStr">
        <is>
          <t>仮設分電盤・仮設照明・仮設資材</t>
        </is>
      </c>
      <c r="C15" s="23" t="inlineStr">
        <is>
          <t>漏電遮断器付 電源送り含む</t>
        </is>
      </c>
      <c r="D15" s="24" t="n">
        <v>1</v>
      </c>
      <c r="E15" s="22" t="inlineStr">
        <is>
          <t>式</t>
        </is>
      </c>
      <c r="F15" s="24" t="n">
        <v>45000</v>
      </c>
      <c r="G15" s="24">
        <f>ROUND(D15*F15,0)</f>
        <v/>
      </c>
      <c r="H15" s="23" t="inlineStr">
        <is>
          <t>施工指針書：仮設照明の準備なし</t>
        </is>
      </c>
    </row>
    <row r="16">
      <c r="A16" s="22" t="n">
        <v>11</v>
      </c>
      <c r="B16" s="23" t="inlineStr">
        <is>
          <t>アップスター</t>
        </is>
      </c>
      <c r="C16" s="23" t="inlineStr"/>
      <c r="D16" s="24" t="n">
        <v>2</v>
      </c>
      <c r="E16" s="22" t="inlineStr">
        <is>
          <t>台</t>
        </is>
      </c>
      <c r="F16" s="24" t="n">
        <v>36200</v>
      </c>
      <c r="G16" s="24">
        <f>ROUND(D16*F16,0)</f>
        <v/>
      </c>
      <c r="H16" s="23" t="inlineStr"/>
    </row>
    <row r="17">
      <c r="A17" s="22" t="n">
        <v>12</v>
      </c>
      <c r="B17" s="23" t="inlineStr">
        <is>
          <t>フリーダムステージ</t>
        </is>
      </c>
      <c r="C17" s="23" t="inlineStr">
        <is>
          <t>CH3750 作業床</t>
        </is>
      </c>
      <c r="D17" s="24" t="n">
        <v>10</v>
      </c>
      <c r="E17" s="22" t="inlineStr">
        <is>
          <t>台</t>
        </is>
      </c>
      <c r="F17" s="24" t="n">
        <v>50000</v>
      </c>
      <c r="G17" s="24">
        <f>ROUND(D17*F17,0)</f>
        <v/>
      </c>
      <c r="H17" s="23" t="inlineStr"/>
    </row>
    <row r="18">
      <c r="A18" s="22" t="n">
        <v>13</v>
      </c>
      <c r="B18" s="23" t="inlineStr">
        <is>
          <t>立馬</t>
        </is>
      </c>
      <c r="C18" s="23" t="inlineStr"/>
      <c r="D18" s="24" t="n">
        <v>5</v>
      </c>
      <c r="E18" s="22" t="inlineStr">
        <is>
          <t>台</t>
        </is>
      </c>
      <c r="F18" s="24" t="n">
        <v>18800</v>
      </c>
      <c r="G18" s="24">
        <f>ROUND(D18*F18,0)</f>
        <v/>
      </c>
      <c r="H18" s="23" t="inlineStr"/>
    </row>
    <row r="19">
      <c r="A19" s="22" t="n">
        <v>14</v>
      </c>
      <c r="B19" s="23" t="inlineStr">
        <is>
          <t>ワークスペースライト</t>
        </is>
      </c>
      <c r="C19" s="23" t="inlineStr"/>
      <c r="D19" s="24" t="n">
        <v>6</v>
      </c>
      <c r="E19" s="22" t="inlineStr">
        <is>
          <t>台</t>
        </is>
      </c>
      <c r="F19" s="24" t="n">
        <v>25000</v>
      </c>
      <c r="G19" s="24">
        <f>ROUND(D19*F19,0)</f>
        <v/>
      </c>
      <c r="H19" s="23" t="inlineStr"/>
    </row>
    <row r="20">
      <c r="A20" s="22" t="n">
        <v>15</v>
      </c>
      <c r="B20" s="23" t="inlineStr">
        <is>
          <t>足場運搬費</t>
        </is>
      </c>
      <c r="C20" s="23" t="inlineStr"/>
      <c r="D20" s="24" t="n">
        <v>3</v>
      </c>
      <c r="E20" s="22" t="inlineStr">
        <is>
          <t>台</t>
        </is>
      </c>
      <c r="F20" s="24" t="n">
        <v>56200</v>
      </c>
      <c r="G20" s="24">
        <f>ROUND(D20*F20,0)</f>
        <v/>
      </c>
      <c r="H20" s="23" t="inlineStr"/>
    </row>
    <row r="21">
      <c r="A21" s="22" t="n">
        <v>16</v>
      </c>
      <c r="B21" s="23" t="inlineStr">
        <is>
          <t>仮囲い撤去・清掃</t>
        </is>
      </c>
      <c r="C21" s="23" t="inlineStr"/>
      <c r="D21" s="24" t="n">
        <v>110</v>
      </c>
      <c r="E21" s="22" t="inlineStr">
        <is>
          <t>㎡</t>
        </is>
      </c>
      <c r="F21" s="24" t="n">
        <v>2000</v>
      </c>
      <c r="G21" s="24">
        <f>ROUND(D21*F21,0)</f>
        <v/>
      </c>
      <c r="H21" s="23" t="inlineStr">
        <is>
          <t>ファサード20.8m×H≒5m</t>
        </is>
      </c>
    </row>
    <row r="22">
      <c r="A22" s="25" t="n"/>
      <c r="B22" s="26" t="inlineStr">
        <is>
          <t>仮設工事 小計</t>
        </is>
      </c>
      <c r="C22" s="25" t="n"/>
      <c r="D22" s="25" t="n"/>
      <c r="E22" s="25" t="n"/>
      <c r="F22" s="25" t="n"/>
      <c r="G22" s="27">
        <f>SUM(G6:G21)</f>
        <v/>
      </c>
      <c r="H22" s="25" t="n"/>
    </row>
    <row r="24">
      <c r="A24" s="21" t="inlineStr">
        <is>
          <t>02 軽鉄・ボード工事</t>
        </is>
      </c>
    </row>
    <row r="25">
      <c r="A25" s="22" t="n">
        <v>1</v>
      </c>
      <c r="B25" s="23" t="inlineStr">
        <is>
          <t>壁面 LGS下地 ST100</t>
        </is>
      </c>
      <c r="C25" s="23" t="inlineStr">
        <is>
          <t>@303</t>
        </is>
      </c>
      <c r="D25" s="24" t="n">
        <v>691</v>
      </c>
      <c r="E25" s="22" t="inlineStr">
        <is>
          <t>㎡</t>
        </is>
      </c>
      <c r="F25" s="24" t="n">
        <v>2500</v>
      </c>
      <c r="G25" s="24">
        <f>ROUND(D25*F25,0)</f>
        <v/>
      </c>
      <c r="H25" s="23" t="inlineStr">
        <is>
          <t>外周C工事壁（図面概算 110m×3.75m=413㎡＋FR・レジバック）</t>
        </is>
      </c>
    </row>
    <row r="26">
      <c r="A26" s="22" t="n">
        <v>2</v>
      </c>
      <c r="B26" s="23" t="inlineStr">
        <is>
          <t>壁面 LGS下地 ST65</t>
        </is>
      </c>
      <c r="C26" s="23" t="inlineStr">
        <is>
          <t>@303 BOH間仕切</t>
        </is>
      </c>
      <c r="D26" s="24" t="n">
        <v>285</v>
      </c>
      <c r="E26" s="22" t="inlineStr">
        <is>
          <t>㎡</t>
        </is>
      </c>
      <c r="F26" s="24" t="n">
        <v>2290</v>
      </c>
      <c r="G26" s="24">
        <f>ROUND(D26*F26,0)</f>
        <v/>
      </c>
      <c r="H26" s="23" t="inlineStr">
        <is>
          <t>図面概算 75m×3.75m=281㎡</t>
        </is>
      </c>
    </row>
    <row r="27">
      <c r="A27" s="22" t="n">
        <v>3</v>
      </c>
      <c r="B27" s="23" t="inlineStr">
        <is>
          <t>柱 LGS下地 ST100</t>
        </is>
      </c>
      <c r="C27" s="23" t="inlineStr">
        <is>
          <t>柱巻き</t>
        </is>
      </c>
      <c r="D27" s="24" t="n">
        <v>156</v>
      </c>
      <c r="E27" s="22" t="inlineStr">
        <is>
          <t>㎡</t>
        </is>
      </c>
      <c r="F27" s="24" t="n">
        <v>2290</v>
      </c>
      <c r="G27" s="24">
        <f>ROUND(D27*F27,0)</f>
        <v/>
      </c>
      <c r="H27" s="23" t="inlineStr"/>
    </row>
    <row r="28">
      <c r="A28" s="22" t="n">
        <v>4</v>
      </c>
      <c r="B28" s="23" t="inlineStr">
        <is>
          <t>壁面 PB12.5 張り</t>
        </is>
      </c>
      <c r="C28" s="23" t="inlineStr">
        <is>
          <t>不燃 レジバック・FR壁面3×8</t>
        </is>
      </c>
      <c r="D28" s="24" t="n">
        <v>965</v>
      </c>
      <c r="E28" s="22" t="inlineStr">
        <is>
          <t>㎡</t>
        </is>
      </c>
      <c r="F28" s="24" t="n">
        <v>1550</v>
      </c>
      <c r="G28" s="24">
        <f>ROUND(D28*F28,0)</f>
        <v/>
      </c>
      <c r="H28" s="23" t="inlineStr">
        <is>
          <t>実績1,238㎡−BOH化粧ボード変更分273㎡</t>
        </is>
      </c>
    </row>
    <row r="29">
      <c r="A29" s="22" t="n">
        <v>5</v>
      </c>
      <c r="B29" s="23" t="inlineStr">
        <is>
          <t>柱 PB12.5 張り</t>
        </is>
      </c>
      <c r="C29" s="23" t="inlineStr">
        <is>
          <t>不燃</t>
        </is>
      </c>
      <c r="D29" s="24" t="n">
        <v>156</v>
      </c>
      <c r="E29" s="22" t="inlineStr">
        <is>
          <t>㎡</t>
        </is>
      </c>
      <c r="F29" s="24" t="n">
        <v>1550</v>
      </c>
      <c r="G29" s="24">
        <f>ROUND(D29*F29,0)</f>
        <v/>
      </c>
      <c r="H29" s="23" t="inlineStr"/>
    </row>
    <row r="30">
      <c r="A30" s="22" t="n">
        <v>6</v>
      </c>
      <c r="B30" s="23" t="inlineStr">
        <is>
          <t>ファサードゲート LGS下地</t>
        </is>
      </c>
      <c r="C30" s="23" t="inlineStr"/>
      <c r="D30" s="24" t="n">
        <v>66</v>
      </c>
      <c r="E30" s="22" t="inlineStr">
        <is>
          <t>㎡</t>
        </is>
      </c>
      <c r="F30" s="24" t="n">
        <v>3120</v>
      </c>
      <c r="G30" s="24">
        <f>ROUND(D30*F30,0)</f>
        <v/>
      </c>
      <c r="H30" s="23" t="inlineStr">
        <is>
          <t>図面 ボーダー重量計算 PB計39.5㎡＋見付</t>
        </is>
      </c>
    </row>
    <row r="31">
      <c r="A31" s="22" t="n">
        <v>7</v>
      </c>
      <c r="B31" s="23" t="inlineStr">
        <is>
          <t>ファサードゲート PB張り</t>
        </is>
      </c>
      <c r="C31" s="23" t="inlineStr">
        <is>
          <t>不燃12.5</t>
        </is>
      </c>
      <c r="D31" s="24" t="n">
        <v>66</v>
      </c>
      <c r="E31" s="22" t="inlineStr">
        <is>
          <t>㎡</t>
        </is>
      </c>
      <c r="F31" s="24" t="n">
        <v>1880</v>
      </c>
      <c r="G31" s="24">
        <f>ROUND(D31*F31,0)</f>
        <v/>
      </c>
      <c r="H31" s="23" t="inlineStr"/>
    </row>
    <row r="32">
      <c r="A32" s="22" t="n">
        <v>8</v>
      </c>
      <c r="B32" s="23" t="inlineStr">
        <is>
          <t>ファサード補強</t>
        </is>
      </c>
      <c r="C32" s="23" t="inlineStr">
        <is>
          <t>吊りボルト@900</t>
        </is>
      </c>
      <c r="D32" s="24" t="n">
        <v>27</v>
      </c>
      <c r="E32" s="22" t="inlineStr">
        <is>
          <t>m</t>
        </is>
      </c>
      <c r="F32" s="24" t="n">
        <v>4380</v>
      </c>
      <c r="G32" s="24">
        <f>ROUND(D32*F32,0)</f>
        <v/>
      </c>
      <c r="H32" s="23" t="inlineStr"/>
    </row>
    <row r="33">
      <c r="A33" s="22" t="n">
        <v>9</v>
      </c>
      <c r="B33" s="23" t="inlineStr">
        <is>
          <t>天井点検口 売場</t>
        </is>
      </c>
      <c r="C33" s="23" t="inlineStr">
        <is>
          <t>450角 アルミフレーム</t>
        </is>
      </c>
      <c r="D33" s="24" t="n">
        <v>16</v>
      </c>
      <c r="E33" s="22" t="inlineStr">
        <is>
          <t>ヶ所</t>
        </is>
      </c>
      <c r="F33" s="24" t="n">
        <v>5690</v>
      </c>
      <c r="G33" s="24">
        <f>ROUND(D33*F33,0)</f>
        <v/>
      </c>
      <c r="H33" s="23" t="inlineStr"/>
    </row>
    <row r="34">
      <c r="A34" s="22" t="n">
        <v>10</v>
      </c>
      <c r="B34" s="23" t="inlineStr">
        <is>
          <t>天井点検口 BOH</t>
        </is>
      </c>
      <c r="C34" s="23" t="inlineStr">
        <is>
          <t>450角 アルミフレーム</t>
        </is>
      </c>
      <c r="D34" s="24" t="n">
        <v>8</v>
      </c>
      <c r="E34" s="22" t="inlineStr">
        <is>
          <t>ヶ所</t>
        </is>
      </c>
      <c r="F34" s="24" t="n">
        <v>5690</v>
      </c>
      <c r="G34" s="24">
        <f>ROUND(D34*F34,0)</f>
        <v/>
      </c>
      <c r="H34" s="23" t="inlineStr"/>
    </row>
    <row r="35">
      <c r="A35" s="22" t="n">
        <v>11</v>
      </c>
      <c r="B35" s="23" t="inlineStr">
        <is>
          <t>サイン用下地</t>
        </is>
      </c>
      <c r="C35" s="23" t="inlineStr"/>
      <c r="D35" s="24" t="n">
        <v>5</v>
      </c>
      <c r="E35" s="22" t="inlineStr">
        <is>
          <t>ヶ所</t>
        </is>
      </c>
      <c r="F35" s="24" t="n">
        <v>4380</v>
      </c>
      <c r="G35" s="24">
        <f>ROUND(D35*F35,0)</f>
        <v/>
      </c>
      <c r="H35" s="23" t="inlineStr"/>
    </row>
    <row r="36">
      <c r="A36" s="22" t="n">
        <v>12</v>
      </c>
      <c r="B36" s="23" t="inlineStr">
        <is>
          <t>建具開口補強</t>
        </is>
      </c>
      <c r="C36" s="23" t="inlineStr"/>
      <c r="D36" s="24" t="n">
        <v>12</v>
      </c>
      <c r="E36" s="22" t="inlineStr">
        <is>
          <t>ヶ所</t>
        </is>
      </c>
      <c r="F36" s="24" t="n">
        <v>5000</v>
      </c>
      <c r="G36" s="24">
        <f>ROUND(D36*F36,0)</f>
        <v/>
      </c>
      <c r="H36" s="23" t="inlineStr">
        <is>
          <t>建具表</t>
        </is>
      </c>
    </row>
    <row r="37">
      <c r="A37" s="22" t="n">
        <v>13</v>
      </c>
      <c r="B37" s="23" t="inlineStr">
        <is>
          <t>DL開口補強</t>
        </is>
      </c>
      <c r="C37" s="23" t="inlineStr">
        <is>
          <t>半数として</t>
        </is>
      </c>
      <c r="D37" s="24" t="n">
        <v>198</v>
      </c>
      <c r="E37" s="22" t="inlineStr">
        <is>
          <t>ヶ所</t>
        </is>
      </c>
      <c r="F37" s="24" t="n">
        <v>1250</v>
      </c>
      <c r="G37" s="24">
        <f>ROUND(D37*F37,0)</f>
        <v/>
      </c>
      <c r="H37" s="23" t="inlineStr">
        <is>
          <t>照明器具表 DL396台×1/2</t>
        </is>
      </c>
    </row>
    <row r="38">
      <c r="A38" s="22" t="n">
        <v>14</v>
      </c>
      <c r="B38" s="23" t="inlineStr">
        <is>
          <t>壁面排煙開口補強</t>
        </is>
      </c>
      <c r="C38" s="23" t="inlineStr"/>
      <c r="D38" s="24" t="n">
        <v>19</v>
      </c>
      <c r="E38" s="22" t="inlineStr">
        <is>
          <t>ヶ所</t>
        </is>
      </c>
      <c r="F38" s="24" t="n">
        <v>6250</v>
      </c>
      <c r="G38" s="24">
        <f>ROUND(D38*F38,0)</f>
        <v/>
      </c>
      <c r="H38" s="23" t="inlineStr"/>
    </row>
    <row r="39">
      <c r="A39" s="22" t="n">
        <v>15</v>
      </c>
      <c r="B39" s="23" t="inlineStr">
        <is>
          <t>防煙垂壁下地追加</t>
        </is>
      </c>
      <c r="C39" s="23" t="inlineStr">
        <is>
          <t>テンションタイプ</t>
        </is>
      </c>
      <c r="D39" s="24" t="n">
        <v>10</v>
      </c>
      <c r="E39" s="22" t="inlineStr">
        <is>
          <t>箇所</t>
        </is>
      </c>
      <c r="F39" s="24" t="n">
        <v>18800</v>
      </c>
      <c r="G39" s="24">
        <f>ROUND(D39*F39,0)</f>
        <v/>
      </c>
      <c r="H39" s="23" t="inlineStr">
        <is>
          <t>平面図 防煙垂れ壁H=500</t>
        </is>
      </c>
    </row>
    <row r="40">
      <c r="A40" s="22" t="n">
        <v>16</v>
      </c>
      <c r="B40" s="23" t="inlineStr">
        <is>
          <t>各所補足スタッド・FR手摺下地</t>
        </is>
      </c>
      <c r="C40" s="23" t="inlineStr"/>
      <c r="D40" s="24" t="n">
        <v>22</v>
      </c>
      <c r="E40" s="22" t="inlineStr">
        <is>
          <t>ヶ所</t>
        </is>
      </c>
      <c r="F40" s="24" t="n">
        <v>1500</v>
      </c>
      <c r="G40" s="24">
        <f>ROUND(D40*F40,0)</f>
        <v/>
      </c>
      <c r="H40" s="23" t="inlineStr"/>
    </row>
    <row r="41">
      <c r="A41" s="22" t="n">
        <v>17</v>
      </c>
      <c r="B41" s="23" t="inlineStr">
        <is>
          <t>補正室 天井ケイカル増し張り</t>
        </is>
      </c>
      <c r="C41" s="23" t="inlineStr">
        <is>
          <t>6mm＋コーナーフクビ</t>
        </is>
      </c>
      <c r="D41" s="24" t="n">
        <v>1</v>
      </c>
      <c r="E41" s="22" t="inlineStr">
        <is>
          <t>式</t>
        </is>
      </c>
      <c r="F41" s="24" t="n">
        <v>31200</v>
      </c>
      <c r="G41" s="24">
        <f>ROUND(D41*F41,0)</f>
        <v/>
      </c>
      <c r="H41" s="23" t="inlineStr"/>
    </row>
    <row r="42">
      <c r="A42" s="22" t="n">
        <v>18</v>
      </c>
      <c r="B42" s="23" t="inlineStr">
        <is>
          <t>L型コーナー</t>
        </is>
      </c>
      <c r="C42" s="23" t="inlineStr">
        <is>
          <t>塩ビコーナー 材工</t>
        </is>
      </c>
      <c r="D42" s="24" t="n">
        <v>275</v>
      </c>
      <c r="E42" s="22" t="inlineStr">
        <is>
          <t>m</t>
        </is>
      </c>
      <c r="F42" s="24" t="n">
        <v>500</v>
      </c>
      <c r="G42" s="24">
        <f>ROUND(D42*F42,0)</f>
        <v/>
      </c>
      <c r="H42" s="23" t="inlineStr"/>
    </row>
    <row r="43">
      <c r="A43" s="22" t="n">
        <v>19</v>
      </c>
      <c r="B43" s="23" t="inlineStr">
        <is>
          <t>ピクチャーレール下地補強</t>
        </is>
      </c>
      <c r="C43" s="23" t="inlineStr"/>
      <c r="D43" s="24" t="n">
        <v>1</v>
      </c>
      <c r="E43" s="22" t="inlineStr">
        <is>
          <t>式</t>
        </is>
      </c>
      <c r="F43" s="24" t="n">
        <v>50000</v>
      </c>
      <c r="G43" s="24">
        <f>ROUND(D43*F43,0)</f>
        <v/>
      </c>
      <c r="H43" s="23" t="inlineStr">
        <is>
          <t>B-09a</t>
        </is>
      </c>
    </row>
    <row r="44">
      <c r="A44" s="22" t="n">
        <v>20</v>
      </c>
      <c r="B44" s="23" t="inlineStr">
        <is>
          <t>壁面・柱埋込スリット</t>
        </is>
      </c>
      <c r="C44" s="23" t="inlineStr">
        <is>
          <t>ASF-52 L2400＋専用下地PST-5＋取付</t>
        </is>
      </c>
      <c r="D44" s="24" t="n">
        <v>8</v>
      </c>
      <c r="E44" s="22" t="inlineStr">
        <is>
          <t>本</t>
        </is>
      </c>
      <c r="F44" s="24" t="n">
        <v>10000</v>
      </c>
      <c r="G44" s="24">
        <f>ROUND(D44*F44,0)</f>
        <v/>
      </c>
      <c r="H44" s="23" t="inlineStr"/>
    </row>
    <row r="45">
      <c r="A45" s="22" t="n">
        <v>21</v>
      </c>
      <c r="B45" s="23" t="inlineStr">
        <is>
          <t>施工副資材・運搬搬入</t>
        </is>
      </c>
      <c r="C45" s="23" t="inlineStr"/>
      <c r="D45" s="24" t="n">
        <v>1</v>
      </c>
      <c r="E45" s="22" t="inlineStr">
        <is>
          <t>式</t>
        </is>
      </c>
      <c r="F45" s="24" t="n">
        <v>243800</v>
      </c>
      <c r="G45" s="24">
        <f>ROUND(D45*F45,0)</f>
        <v/>
      </c>
      <c r="H45" s="23" t="inlineStr"/>
    </row>
    <row r="46">
      <c r="A46" s="22" t="n">
        <v>22</v>
      </c>
      <c r="B46" s="23" t="inlineStr">
        <is>
          <t>廃材処理</t>
        </is>
      </c>
      <c r="C46" s="23" t="inlineStr"/>
      <c r="D46" s="24" t="n">
        <v>20</v>
      </c>
      <c r="E46" s="22" t="inlineStr">
        <is>
          <t>m3</t>
        </is>
      </c>
      <c r="F46" s="24" t="n">
        <v>10500</v>
      </c>
      <c r="G46" s="24">
        <f>ROUND(D46*F46,0)</f>
        <v/>
      </c>
      <c r="H46" s="23" t="inlineStr"/>
    </row>
    <row r="47">
      <c r="A47" s="25" t="n"/>
      <c r="B47" s="26" t="inlineStr">
        <is>
          <t>軽鉄・ボード工事 小計</t>
        </is>
      </c>
      <c r="C47" s="25" t="n"/>
      <c r="D47" s="25" t="n"/>
      <c r="E47" s="25" t="n"/>
      <c r="F47" s="25" t="n"/>
      <c r="G47" s="27">
        <f>SUM(G25:G46)</f>
        <v/>
      </c>
      <c r="H47" s="25" t="n"/>
    </row>
    <row r="49">
      <c r="A49" s="21" t="inlineStr">
        <is>
          <t>03 床タイル工事</t>
        </is>
      </c>
    </row>
    <row r="50">
      <c r="A50" s="22" t="n">
        <v>1</v>
      </c>
      <c r="B50" s="23" t="inlineStr">
        <is>
          <t>売場 塩ビタイル施工</t>
        </is>
      </c>
      <c r="C50" s="23" t="inlineStr">
        <is>
          <t>ES3001-45 馬貼り【材料GU支給】</t>
        </is>
      </c>
      <c r="D50" s="24" t="n">
        <v>876</v>
      </c>
      <c r="E50" s="22" t="inlineStr">
        <is>
          <t>㎡</t>
        </is>
      </c>
      <c r="F50" s="24" t="n">
        <v>1310</v>
      </c>
      <c r="G50" s="24">
        <f>ROUND(D50*F50,0)</f>
        <v/>
      </c>
      <c r="H50" s="23" t="inlineStr">
        <is>
          <t>図面 売場855㎡＋FRブース外</t>
        </is>
      </c>
    </row>
    <row r="51">
      <c r="A51" s="22" t="n">
        <v>2</v>
      </c>
      <c r="B51" s="23" t="inlineStr">
        <is>
          <t>FRブース内 Pタイル施工</t>
        </is>
      </c>
      <c r="C51" s="23" t="inlineStr">
        <is>
          <t>WBH-603【材料GU支給】</t>
        </is>
      </c>
      <c r="D51" s="24" t="n">
        <v>12</v>
      </c>
      <c r="E51" s="22" t="inlineStr">
        <is>
          <t>㎡</t>
        </is>
      </c>
      <c r="F51" s="24" t="n">
        <v>1620</v>
      </c>
      <c r="G51" s="24">
        <f>ROUND(D51*F51,0)</f>
        <v/>
      </c>
      <c r="H51" s="23" t="inlineStr">
        <is>
          <t>FR小8＋大1＋HC1</t>
        </is>
      </c>
    </row>
    <row r="52">
      <c r="A52" s="22" t="n">
        <v>3</v>
      </c>
      <c r="B52" s="23" t="inlineStr">
        <is>
          <t>BOH 塩ビタイル施工</t>
        </is>
      </c>
      <c r="C52" s="23" t="inlineStr">
        <is>
          <t>P-41【材料GU支給】</t>
        </is>
      </c>
      <c r="D52" s="24" t="n">
        <v>169</v>
      </c>
      <c r="E52" s="22" t="inlineStr">
        <is>
          <t>㎡</t>
        </is>
      </c>
      <c r="F52" s="24" t="n">
        <v>1310</v>
      </c>
      <c r="G52" s="24">
        <f>ROUND(D52*F52,0)</f>
        <v/>
      </c>
      <c r="H52" s="23" t="inlineStr">
        <is>
          <t>図面 BOH5室173㎡（SW含め要確認）</t>
        </is>
      </c>
    </row>
    <row r="53">
      <c r="A53" s="22" t="n">
        <v>4</v>
      </c>
      <c r="B53" s="23" t="inlineStr">
        <is>
          <t>床下地処理</t>
        </is>
      </c>
      <c r="C53" s="23" t="inlineStr">
        <is>
          <t>アースシール程度</t>
        </is>
      </c>
      <c r="D53" s="24" t="n">
        <v>1</v>
      </c>
      <c r="E53" s="22" t="inlineStr">
        <is>
          <t>式</t>
        </is>
      </c>
      <c r="F53" s="24" t="n">
        <v>37500</v>
      </c>
      <c r="G53" s="24">
        <f>ROUND(D53*F53,0)</f>
        <v/>
      </c>
      <c r="H53" s="23" t="inlineStr"/>
    </row>
    <row r="54">
      <c r="A54" s="22" t="n">
        <v>5</v>
      </c>
      <c r="B54" s="23" t="inlineStr">
        <is>
          <t>専用接着剤</t>
        </is>
      </c>
      <c r="C54" s="23" t="inlineStr">
        <is>
          <t>アクリル系</t>
        </is>
      </c>
      <c r="D54" s="24" t="n">
        <v>1057</v>
      </c>
      <c r="E54" s="22" t="inlineStr">
        <is>
          <t>㎡</t>
        </is>
      </c>
      <c r="F54" s="24" t="n">
        <v>380</v>
      </c>
      <c r="G54" s="24">
        <f>ROUND(D54*F54,0)</f>
        <v/>
      </c>
      <c r="H54" s="23" t="inlineStr"/>
    </row>
    <row r="55">
      <c r="A55" s="22" t="n">
        <v>6</v>
      </c>
      <c r="B55" s="23" t="inlineStr">
        <is>
          <t>各所床見切り</t>
        </is>
      </c>
      <c r="C55" s="23" t="inlineStr"/>
      <c r="D55" s="24" t="n">
        <v>1</v>
      </c>
      <c r="E55" s="22" t="inlineStr">
        <is>
          <t>式</t>
        </is>
      </c>
      <c r="F55" s="24" t="n">
        <v>56200</v>
      </c>
      <c r="G55" s="24">
        <f>ROUND(D55*F55,0)</f>
        <v/>
      </c>
      <c r="H55" s="23" t="inlineStr"/>
    </row>
    <row r="56">
      <c r="A56" s="22" t="n">
        <v>7</v>
      </c>
      <c r="B56" s="23" t="inlineStr">
        <is>
          <t>運搬搬入</t>
        </is>
      </c>
      <c r="C56" s="23" t="inlineStr"/>
      <c r="D56" s="24" t="n">
        <v>1</v>
      </c>
      <c r="E56" s="22" t="inlineStr">
        <is>
          <t>式</t>
        </is>
      </c>
      <c r="F56" s="24" t="n">
        <v>137500</v>
      </c>
      <c r="G56" s="24">
        <f>ROUND(D56*F56,0)</f>
        <v/>
      </c>
      <c r="H56" s="23" t="inlineStr"/>
    </row>
    <row r="57">
      <c r="A57" s="25" t="n"/>
      <c r="B57" s="26" t="inlineStr">
        <is>
          <t>床タイル工事 小計</t>
        </is>
      </c>
      <c r="C57" s="25" t="n"/>
      <c r="D57" s="25" t="n"/>
      <c r="E57" s="25" t="n"/>
      <c r="F57" s="25" t="n"/>
      <c r="G57" s="27">
        <f>SUM(G50:G56)</f>
        <v/>
      </c>
      <c r="H57" s="25" t="n"/>
    </row>
    <row r="59">
      <c r="A59" s="21" t="inlineStr">
        <is>
          <t>04 塗装工事</t>
        </is>
      </c>
    </row>
    <row r="60">
      <c r="A60" s="22" t="n">
        <v>1</v>
      </c>
      <c r="B60" s="23" t="inlineStr">
        <is>
          <t>天井 AEP</t>
        </is>
      </c>
      <c r="C60" s="23" t="inlineStr">
        <is>
          <t>N-95ツヤ消し 寒冷紗パテ含む（BOH含む全面）</t>
        </is>
      </c>
      <c r="D60" s="24" t="n">
        <v>1065</v>
      </c>
      <c r="E60" s="22" t="inlineStr">
        <is>
          <t>㎡</t>
        </is>
      </c>
      <c r="F60" s="24" t="n">
        <v>2000</v>
      </c>
      <c r="G60" s="24">
        <f>ROUND(D60*F60,0)</f>
        <v/>
      </c>
      <c r="H60" s="23" t="inlineStr">
        <is>
          <t>区画面積</t>
        </is>
      </c>
    </row>
    <row r="61">
      <c r="A61" s="22" t="n">
        <v>2</v>
      </c>
      <c r="B61" s="23" t="inlineStr">
        <is>
          <t>壁面 AEP</t>
        </is>
      </c>
      <c r="C61" s="23" t="inlineStr">
        <is>
          <t>N-95 3分ツヤ 寒冷紗パテ含む</t>
        </is>
      </c>
      <c r="D61" s="24" t="n">
        <v>645</v>
      </c>
      <c r="E61" s="22" t="inlineStr">
        <is>
          <t>㎡</t>
        </is>
      </c>
      <c r="F61" s="24" t="n">
        <v>2000</v>
      </c>
      <c r="G61" s="24">
        <f>ROUND(D61*F61,0)</f>
        <v/>
      </c>
      <c r="H61" s="23" t="inlineStr"/>
    </row>
    <row r="62">
      <c r="A62" s="22" t="n">
        <v>3</v>
      </c>
      <c r="B62" s="23" t="inlineStr">
        <is>
          <t>柱面 AEP</t>
        </is>
      </c>
      <c r="C62" s="23" t="inlineStr">
        <is>
          <t>N-95 3分ツヤ</t>
        </is>
      </c>
      <c r="D62" s="24" t="n">
        <v>64</v>
      </c>
      <c r="E62" s="22" t="inlineStr">
        <is>
          <t>㎡</t>
        </is>
      </c>
      <c r="F62" s="24" t="n">
        <v>2000</v>
      </c>
      <c r="G62" s="24">
        <f>ROUND(D62*F62,0)</f>
        <v/>
      </c>
      <c r="H62" s="23" t="inlineStr"/>
    </row>
    <row r="63">
      <c r="A63" s="22" t="n">
        <v>4</v>
      </c>
      <c r="B63" s="23" t="inlineStr">
        <is>
          <t>ファサードゲート AEP</t>
        </is>
      </c>
      <c r="C63" s="23" t="inlineStr">
        <is>
          <t>N-95 3分ツヤ</t>
        </is>
      </c>
      <c r="D63" s="24" t="n">
        <v>59</v>
      </c>
      <c r="E63" s="22" t="inlineStr">
        <is>
          <t>㎡</t>
        </is>
      </c>
      <c r="F63" s="24" t="n">
        <v>2000</v>
      </c>
      <c r="G63" s="24">
        <f>ROUND(D63*F63,0)</f>
        <v/>
      </c>
      <c r="H63" s="23" t="inlineStr"/>
    </row>
    <row r="64">
      <c r="A64" s="22" t="n">
        <v>5</v>
      </c>
      <c r="B64" s="23" t="inlineStr">
        <is>
          <t>A工事避難扉 SOP</t>
        </is>
      </c>
      <c r="C64" s="23" t="inlineStr">
        <is>
          <t>N-87 原状復旧対象</t>
        </is>
      </c>
      <c r="D64" s="24" t="n">
        <v>3</v>
      </c>
      <c r="E64" s="22" t="inlineStr">
        <is>
          <t>枚</t>
        </is>
      </c>
      <c r="F64" s="24" t="n">
        <v>18800</v>
      </c>
      <c r="G64" s="24">
        <f>ROUND(D64*F64,0)</f>
        <v/>
      </c>
      <c r="H64" s="23" t="inlineStr">
        <is>
          <t>平面図 注記</t>
        </is>
      </c>
    </row>
    <row r="65">
      <c r="A65" s="22" t="n">
        <v>6</v>
      </c>
      <c r="B65" s="23" t="inlineStr">
        <is>
          <t>シャッターガイド SOP</t>
        </is>
      </c>
      <c r="C65" s="23" t="inlineStr"/>
      <c r="D65" s="24" t="n">
        <v>3</v>
      </c>
      <c r="E65" s="22" t="inlineStr">
        <is>
          <t>人工</t>
        </is>
      </c>
      <c r="F65" s="24" t="n">
        <v>37500</v>
      </c>
      <c r="G65" s="24">
        <f>ROUND(D65*F65,0)</f>
        <v/>
      </c>
      <c r="H65" s="23" t="inlineStr"/>
    </row>
    <row r="66">
      <c r="A66" s="22" t="n">
        <v>7</v>
      </c>
      <c r="B66" s="23" t="inlineStr">
        <is>
          <t>塗装養生</t>
        </is>
      </c>
      <c r="C66" s="23" t="inlineStr"/>
      <c r="D66" s="24" t="n">
        <v>1065</v>
      </c>
      <c r="E66" s="22" t="inlineStr">
        <is>
          <t>㎡</t>
        </is>
      </c>
      <c r="F66" s="24" t="n">
        <v>60</v>
      </c>
      <c r="G66" s="24">
        <f>ROUND(D66*F66,0)</f>
        <v/>
      </c>
      <c r="H66" s="23" t="inlineStr"/>
    </row>
    <row r="67">
      <c r="A67" s="22" t="n">
        <v>8</v>
      </c>
      <c r="B67" s="23" t="inlineStr">
        <is>
          <t>雑塗装・補修・副資材・処分</t>
        </is>
      </c>
      <c r="C67" s="23" t="inlineStr"/>
      <c r="D67" s="24" t="n">
        <v>1</v>
      </c>
      <c r="E67" s="22" t="inlineStr">
        <is>
          <t>式</t>
        </is>
      </c>
      <c r="F67" s="24" t="n">
        <v>121200</v>
      </c>
      <c r="G67" s="24">
        <f>ROUND(D67*F67,0)</f>
        <v/>
      </c>
      <c r="H67" s="23" t="inlineStr"/>
    </row>
    <row r="68">
      <c r="A68" s="25" t="n"/>
      <c r="B68" s="26" t="inlineStr">
        <is>
          <t>塗装工事 小計</t>
        </is>
      </c>
      <c r="C68" s="25" t="n"/>
      <c r="D68" s="25" t="n"/>
      <c r="E68" s="25" t="n"/>
      <c r="F68" s="25" t="n"/>
      <c r="G68" s="27">
        <f>SUM(G60:G67)</f>
        <v/>
      </c>
      <c r="H68" s="25" t="n"/>
    </row>
    <row r="70">
      <c r="A70" s="21" t="inlineStr">
        <is>
          <t>05 内装仕上げ工事</t>
        </is>
      </c>
    </row>
    <row r="71">
      <c r="A71" s="22" t="n">
        <v>1</v>
      </c>
      <c r="B71" s="23" t="inlineStr">
        <is>
          <t>売場・FR ソフト巾木</t>
        </is>
      </c>
      <c r="C71" s="23" t="inlineStr">
        <is>
          <t>HB-89 H100</t>
        </is>
      </c>
      <c r="D71" s="24" t="n">
        <v>182</v>
      </c>
      <c r="E71" s="22" t="inlineStr">
        <is>
          <t>m</t>
        </is>
      </c>
      <c r="F71" s="24" t="n">
        <v>380</v>
      </c>
      <c r="G71" s="24">
        <f>ROUND(D71*F71,0)</f>
        <v/>
      </c>
      <c r="H71" s="23" t="inlineStr"/>
    </row>
    <row r="72">
      <c r="A72" s="22" t="n">
        <v>2</v>
      </c>
      <c r="B72" s="23" t="inlineStr">
        <is>
          <t>売場 塩ビFB</t>
        </is>
      </c>
      <c r="C72" s="23" t="inlineStr"/>
      <c r="D72" s="24" t="n">
        <v>65</v>
      </c>
      <c r="E72" s="22" t="inlineStr">
        <is>
          <t>m</t>
        </is>
      </c>
      <c r="F72" s="24" t="n">
        <v>350</v>
      </c>
      <c r="G72" s="24">
        <f>ROUND(D72*F72,0)</f>
        <v/>
      </c>
      <c r="H72" s="23" t="inlineStr"/>
    </row>
    <row r="73">
      <c r="A73" s="22" t="n">
        <v>3</v>
      </c>
      <c r="B73" s="23" t="inlineStr">
        <is>
          <t>FR・補正室 クロス（白）</t>
        </is>
      </c>
      <c r="C73" s="23" t="inlineStr">
        <is>
          <t>LW-4630（補正室はボード素地）</t>
        </is>
      </c>
      <c r="D73" s="24" t="n">
        <v>131</v>
      </c>
      <c r="E73" s="22" t="inlineStr">
        <is>
          <t>㎡</t>
        </is>
      </c>
      <c r="F73" s="24" t="n">
        <v>1560</v>
      </c>
      <c r="G73" s="24">
        <f>ROUND(D73*F73,0)</f>
        <v/>
      </c>
      <c r="H73" s="23" t="inlineStr">
        <is>
          <t>実績194㎡−補正室素地63㎡</t>
        </is>
      </c>
    </row>
    <row r="74">
      <c r="A74" s="22" t="n">
        <v>4</v>
      </c>
      <c r="B74" s="23" t="inlineStr">
        <is>
          <t>スタッフルーム・店長室 化粧ボード（木目）</t>
        </is>
      </c>
      <c r="C74" s="23" t="inlineStr">
        <is>
          <t>材工</t>
        </is>
      </c>
      <c r="D74" s="24" t="n">
        <v>273</v>
      </c>
      <c r="E74" s="22" t="inlineStr">
        <is>
          <t>㎡</t>
        </is>
      </c>
      <c r="F74" s="24" t="n">
        <v>2380</v>
      </c>
      <c r="G74" s="24">
        <f>ROUND(D74*F74,0)</f>
        <v/>
      </c>
      <c r="H74" s="23" t="inlineStr">
        <is>
          <t>仕上表 GB-D</t>
        </is>
      </c>
    </row>
    <row r="75">
      <c r="A75" s="22" t="n">
        <v>5</v>
      </c>
      <c r="B75" s="23" t="inlineStr">
        <is>
          <t>BOH ソフト巾木</t>
        </is>
      </c>
      <c r="C75" s="23" t="inlineStr">
        <is>
          <t>TH75-96 H75</t>
        </is>
      </c>
      <c r="D75" s="24" t="n">
        <v>145</v>
      </c>
      <c r="E75" s="22" t="inlineStr">
        <is>
          <t>m</t>
        </is>
      </c>
      <c r="F75" s="24" t="n">
        <v>380</v>
      </c>
      <c r="G75" s="24">
        <f>ROUND(D75*F75,0)</f>
        <v/>
      </c>
      <c r="H75" s="23" t="inlineStr"/>
    </row>
    <row r="76">
      <c r="A76" s="22" t="n">
        <v>6</v>
      </c>
      <c r="B76" s="23" t="inlineStr">
        <is>
          <t>倉庫・備品庫 巾木</t>
        </is>
      </c>
      <c r="C76" s="23" t="inlineStr">
        <is>
          <t>WTH300-96 H300</t>
        </is>
      </c>
      <c r="D76" s="24" t="n">
        <v>75</v>
      </c>
      <c r="E76" s="22" t="inlineStr">
        <is>
          <t>m</t>
        </is>
      </c>
      <c r="F76" s="24" t="n">
        <v>1120</v>
      </c>
      <c r="G76" s="24">
        <f>ROUND(D76*F76,0)</f>
        <v/>
      </c>
      <c r="H76" s="23" t="inlineStr"/>
    </row>
    <row r="77">
      <c r="A77" s="22" t="n">
        <v>7</v>
      </c>
      <c r="B77" s="23" t="inlineStr">
        <is>
          <t>FRカーテン W1000</t>
        </is>
      </c>
      <c r="C77" s="23" t="inlineStr">
        <is>
          <t>サンゲツ CK-125 H2100</t>
        </is>
      </c>
      <c r="D77" s="24" t="n">
        <v>8</v>
      </c>
      <c r="E77" s="22" t="inlineStr">
        <is>
          <t>枚</t>
        </is>
      </c>
      <c r="F77" s="24" t="n">
        <v>16200</v>
      </c>
      <c r="G77" s="24">
        <f>ROUND(D77*F77,0)</f>
        <v/>
      </c>
      <c r="H77" s="23" t="inlineStr"/>
    </row>
    <row r="78">
      <c r="A78" s="22" t="n">
        <v>8</v>
      </c>
      <c r="B78" s="23" t="inlineStr">
        <is>
          <t>FRカーテン W1500（大型）</t>
        </is>
      </c>
      <c r="C78" s="23" t="inlineStr">
        <is>
          <t>サンゲツ CK-125 H2100</t>
        </is>
      </c>
      <c r="D78" s="24" t="n">
        <v>1</v>
      </c>
      <c r="E78" s="22" t="inlineStr">
        <is>
          <t>枚</t>
        </is>
      </c>
      <c r="F78" s="24" t="n">
        <v>18800</v>
      </c>
      <c r="G78" s="24">
        <f>ROUND(D78*F78,0)</f>
        <v/>
      </c>
      <c r="H78" s="23" t="inlineStr"/>
    </row>
    <row r="79">
      <c r="A79" s="22" t="n">
        <v>9</v>
      </c>
      <c r="B79" s="23" t="inlineStr">
        <is>
          <t>カーテンレール・タッセル</t>
        </is>
      </c>
      <c r="C79" s="23" t="inlineStr">
        <is>
          <t>TOSO</t>
        </is>
      </c>
      <c r="D79" s="24" t="n">
        <v>9</v>
      </c>
      <c r="E79" s="22" t="inlineStr">
        <is>
          <t>ヶ所</t>
        </is>
      </c>
      <c r="F79" s="24" t="n">
        <v>3500</v>
      </c>
      <c r="G79" s="24">
        <f>ROUND(D79*F79,0)</f>
        <v/>
      </c>
      <c r="H79" s="23" t="inlineStr"/>
    </row>
    <row r="80">
      <c r="A80" s="22" t="n">
        <v>10</v>
      </c>
      <c r="B80" s="23" t="inlineStr">
        <is>
          <t>避難通路ドットシール</t>
        </is>
      </c>
      <c r="C80" s="23" t="inlineStr">
        <is>
          <t>φ30 600P＋取付</t>
        </is>
      </c>
      <c r="D80" s="24" t="n">
        <v>286</v>
      </c>
      <c r="E80" s="22" t="inlineStr">
        <is>
          <t>m</t>
        </is>
      </c>
      <c r="F80" s="24" t="n">
        <v>290</v>
      </c>
      <c r="G80" s="24">
        <f>ROUND(D80*F80,0)</f>
        <v/>
      </c>
      <c r="H80" s="23" t="inlineStr"/>
    </row>
    <row r="81">
      <c r="A81" s="22" t="n">
        <v>11</v>
      </c>
      <c r="B81" s="23" t="inlineStr">
        <is>
          <t>床用イエローテープ</t>
        </is>
      </c>
      <c r="C81" s="23" t="inlineStr">
        <is>
          <t>3M PM1981 材工</t>
        </is>
      </c>
      <c r="D81" s="24" t="n">
        <v>1</v>
      </c>
      <c r="E81" s="22" t="inlineStr">
        <is>
          <t>式</t>
        </is>
      </c>
      <c r="F81" s="24" t="n">
        <v>18800</v>
      </c>
      <c r="G81" s="24">
        <f>ROUND(D81*F81,0)</f>
        <v/>
      </c>
      <c r="H81" s="23" t="inlineStr">
        <is>
          <t>仕上表 分電盤まわり</t>
        </is>
      </c>
    </row>
    <row r="82">
      <c r="A82" s="22" t="n">
        <v>12</v>
      </c>
      <c r="B82" s="23" t="inlineStr">
        <is>
          <t>ストック アルミシート貼り 壁</t>
        </is>
      </c>
      <c r="C82" s="23" t="inlineStr">
        <is>
          <t>材料別途</t>
        </is>
      </c>
      <c r="D82" s="24" t="n">
        <v>165</v>
      </c>
      <c r="E82" s="22" t="inlineStr">
        <is>
          <t>㎡</t>
        </is>
      </c>
      <c r="F82" s="24" t="n">
        <v>1500</v>
      </c>
      <c r="G82" s="24">
        <f>ROUND(D82*F82,0)</f>
        <v/>
      </c>
      <c r="H82" s="23" t="inlineStr">
        <is>
          <t>B-08</t>
        </is>
      </c>
    </row>
    <row r="83">
      <c r="A83" s="22" t="n">
        <v>13</v>
      </c>
      <c r="B83" s="23" t="inlineStr">
        <is>
          <t>ストック アルミシート貼り 天井</t>
        </is>
      </c>
      <c r="C83" s="23" t="inlineStr">
        <is>
          <t>材料支給</t>
        </is>
      </c>
      <c r="D83" s="24" t="n">
        <v>38</v>
      </c>
      <c r="E83" s="22" t="inlineStr">
        <is>
          <t>㎡</t>
        </is>
      </c>
      <c r="F83" s="24" t="n">
        <v>5500</v>
      </c>
      <c r="G83" s="24">
        <f>ROUND(D83*F83,0)</f>
        <v/>
      </c>
      <c r="H83" s="23" t="inlineStr">
        <is>
          <t>接着材・テープ含む</t>
        </is>
      </c>
    </row>
    <row r="84">
      <c r="A84" s="22" t="n">
        <v>14</v>
      </c>
      <c r="B84" s="23" t="inlineStr">
        <is>
          <t>SW ロールスクリーン W2600×H4000</t>
        </is>
      </c>
      <c r="C84" s="23" t="inlineStr">
        <is>
          <t>手動 化粧BOX共</t>
        </is>
      </c>
      <c r="D84" s="24" t="n">
        <v>6</v>
      </c>
      <c r="E84" s="22" t="inlineStr">
        <is>
          <t>台</t>
        </is>
      </c>
      <c r="F84" s="24" t="n">
        <v>130000</v>
      </c>
      <c r="G84" s="24">
        <f>ROUND(D84*F84,0)</f>
        <v/>
      </c>
      <c r="H84" s="23" t="inlineStr">
        <is>
          <t>B-11（実績は追加工事）</t>
        </is>
      </c>
    </row>
    <row r="85">
      <c r="A85" s="22" t="n">
        <v>15</v>
      </c>
      <c r="B85" s="23" t="inlineStr">
        <is>
          <t>SW ロールスクリーン W1800×H4000</t>
        </is>
      </c>
      <c r="C85" s="23" t="inlineStr">
        <is>
          <t>手動 化粧BOX共</t>
        </is>
      </c>
      <c r="D85" s="24" t="n">
        <v>6</v>
      </c>
      <c r="E85" s="22" t="inlineStr">
        <is>
          <t>台</t>
        </is>
      </c>
      <c r="F85" s="24" t="n">
        <v>90000</v>
      </c>
      <c r="G85" s="24">
        <f>ROUND(D85*F85,0)</f>
        <v/>
      </c>
      <c r="H85" s="23" t="inlineStr"/>
    </row>
    <row r="86">
      <c r="A86" s="22" t="n">
        <v>16</v>
      </c>
      <c r="B86" s="23" t="inlineStr">
        <is>
          <t>ロールスクリーン取付・運搬</t>
        </is>
      </c>
      <c r="C86" s="23" t="inlineStr"/>
      <c r="D86" s="24" t="n">
        <v>1</v>
      </c>
      <c r="E86" s="22" t="inlineStr">
        <is>
          <t>式</t>
        </is>
      </c>
      <c r="F86" s="24" t="n">
        <v>431200</v>
      </c>
      <c r="G86" s="24">
        <f>ROUND(D86*F86,0)</f>
        <v/>
      </c>
      <c r="H86" s="23" t="inlineStr"/>
    </row>
    <row r="87">
      <c r="A87" s="25" t="n"/>
      <c r="B87" s="26" t="inlineStr">
        <is>
          <t>内装仕上げ工事 小計</t>
        </is>
      </c>
      <c r="C87" s="25" t="n"/>
      <c r="D87" s="25" t="n"/>
      <c r="E87" s="25" t="n"/>
      <c r="F87" s="25" t="n"/>
      <c r="G87" s="27">
        <f>SUM(G71:G86)</f>
        <v/>
      </c>
      <c r="H87" s="25" t="n"/>
    </row>
    <row r="89">
      <c r="A89" s="21" t="inlineStr">
        <is>
          <t>06 金物工事</t>
        </is>
      </c>
    </row>
    <row r="90">
      <c r="A90" s="22" t="n">
        <v>1</v>
      </c>
      <c r="B90" s="23" t="inlineStr">
        <is>
          <t>ファサードシャッター塞ぎパネル</t>
        </is>
      </c>
      <c r="C90" s="23" t="inlineStr">
        <is>
          <t>スチールメラ焼 白</t>
        </is>
      </c>
      <c r="D90" s="24" t="n">
        <v>9</v>
      </c>
      <c r="E90" s="22" t="inlineStr">
        <is>
          <t>㎡</t>
        </is>
      </c>
      <c r="F90" s="24" t="n">
        <v>40000</v>
      </c>
      <c r="G90" s="24">
        <f>ROUND(D90*F90,0)</f>
        <v/>
      </c>
      <c r="H90" s="23" t="inlineStr"/>
    </row>
    <row r="91">
      <c r="A91" s="22" t="n">
        <v>2</v>
      </c>
      <c r="B91" s="23" t="inlineStr">
        <is>
          <t>同上 取付</t>
        </is>
      </c>
      <c r="C91" s="23" t="inlineStr"/>
      <c r="D91" s="24" t="n">
        <v>2</v>
      </c>
      <c r="E91" s="22" t="inlineStr">
        <is>
          <t>人工</t>
        </is>
      </c>
      <c r="F91" s="24" t="n">
        <v>37500</v>
      </c>
      <c r="G91" s="24">
        <f>ROUND(D91*F91,0)</f>
        <v/>
      </c>
      <c r="H91" s="23" t="inlineStr"/>
    </row>
    <row r="92">
      <c r="A92" s="22" t="n">
        <v>3</v>
      </c>
      <c r="B92" s="23" t="inlineStr">
        <is>
          <t>壁面コーナーガード</t>
        </is>
      </c>
      <c r="C92" s="23" t="inlineStr">
        <is>
          <t>Stメラ焼 16角 H4000</t>
        </is>
      </c>
      <c r="D92" s="24" t="n">
        <v>67</v>
      </c>
      <c r="E92" s="22" t="inlineStr">
        <is>
          <t>本</t>
        </is>
      </c>
      <c r="F92" s="24" t="n">
        <v>13800</v>
      </c>
      <c r="G92" s="24">
        <f>ROUND(D92*F92,0)</f>
        <v/>
      </c>
      <c r="H92" s="23" t="inlineStr"/>
    </row>
    <row r="93">
      <c r="A93" s="22" t="n">
        <v>4</v>
      </c>
      <c r="B93" s="23" t="inlineStr">
        <is>
          <t>壁面ミラー用 メタカラー巾木</t>
        </is>
      </c>
      <c r="C93" s="23" t="inlineStr">
        <is>
          <t>H150 L2700</t>
        </is>
      </c>
      <c r="D93" s="24" t="n">
        <v>8</v>
      </c>
      <c r="E93" s="22" t="inlineStr">
        <is>
          <t>本</t>
        </is>
      </c>
      <c r="F93" s="24" t="n">
        <v>9000</v>
      </c>
      <c r="G93" s="24">
        <f>ROUND(D93*F93,0)</f>
        <v/>
      </c>
      <c r="H93" s="23" t="inlineStr"/>
    </row>
    <row r="94">
      <c r="A94" s="22" t="n">
        <v>5</v>
      </c>
      <c r="B94" s="23" t="inlineStr">
        <is>
          <t>ピクチャーレール</t>
        </is>
      </c>
      <c r="C94" s="23" t="inlineStr">
        <is>
          <t>白 L3000</t>
        </is>
      </c>
      <c r="D94" s="24" t="n">
        <v>5</v>
      </c>
      <c r="E94" s="22" t="inlineStr">
        <is>
          <t>本</t>
        </is>
      </c>
      <c r="F94" s="24" t="n">
        <v>9000</v>
      </c>
      <c r="G94" s="24">
        <f>ROUND(D94*F94,0)</f>
        <v/>
      </c>
      <c r="H94" s="23" t="inlineStr">
        <is>
          <t>B-09a</t>
        </is>
      </c>
    </row>
    <row r="95">
      <c r="A95" s="22" t="n">
        <v>6</v>
      </c>
      <c r="B95" s="23" t="inlineStr">
        <is>
          <t>CAフック・ミニハンガー・ストップ・Sカン他</t>
        </is>
      </c>
      <c r="C95" s="23" t="inlineStr"/>
      <c r="D95" s="24" t="n">
        <v>1</v>
      </c>
      <c r="E95" s="22" t="inlineStr">
        <is>
          <t>式</t>
        </is>
      </c>
      <c r="F95" s="24" t="n">
        <v>98800</v>
      </c>
      <c r="G95" s="24">
        <f>ROUND(D95*F95,0)</f>
        <v/>
      </c>
      <c r="H95" s="23" t="inlineStr"/>
    </row>
    <row r="96">
      <c r="A96" s="22" t="n">
        <v>7</v>
      </c>
      <c r="B96" s="23" t="inlineStr">
        <is>
          <t>FRミラーエッジ・靴べら・コートフック</t>
        </is>
      </c>
      <c r="C96" s="23" t="inlineStr"/>
      <c r="D96" s="24" t="n">
        <v>1</v>
      </c>
      <c r="E96" s="22" t="inlineStr">
        <is>
          <t>式</t>
        </is>
      </c>
      <c r="F96" s="24" t="n">
        <v>45000</v>
      </c>
      <c r="G96" s="24">
        <f>ROUND(D96*F96,0)</f>
        <v/>
      </c>
      <c r="H96" s="23" t="inlineStr"/>
    </row>
    <row r="97">
      <c r="A97" s="22" t="n">
        <v>8</v>
      </c>
      <c r="B97" s="23" t="inlineStr">
        <is>
          <t>タペストリーBOX（壁面埋込）</t>
        </is>
      </c>
      <c r="C97" s="23" t="inlineStr">
        <is>
          <t>W1020×H2230 取付・ケイカル下地・運搬込</t>
        </is>
      </c>
      <c r="D97" s="24" t="n">
        <v>2</v>
      </c>
      <c r="E97" s="22" t="inlineStr">
        <is>
          <t>箇所</t>
        </is>
      </c>
      <c r="F97" s="24" t="n">
        <v>262500</v>
      </c>
      <c r="G97" s="24">
        <f>ROUND(D97*F97,0)</f>
        <v/>
      </c>
      <c r="H97" s="23" t="inlineStr">
        <is>
          <t>B-14</t>
        </is>
      </c>
    </row>
    <row r="98">
      <c r="A98" s="22" t="n">
        <v>9</v>
      </c>
      <c r="B98" s="23" t="inlineStr">
        <is>
          <t>金庫固定金物</t>
        </is>
      </c>
      <c r="C98" s="23" t="inlineStr">
        <is>
          <t>スチール サビ止め</t>
        </is>
      </c>
      <c r="D98" s="24" t="n">
        <v>1</v>
      </c>
      <c r="E98" s="22" t="inlineStr">
        <is>
          <t>組</t>
        </is>
      </c>
      <c r="F98" s="24" t="n">
        <v>11200</v>
      </c>
      <c r="G98" s="24">
        <f>ROUND(D98*F98,0)</f>
        <v/>
      </c>
      <c r="H98" s="23" t="inlineStr">
        <is>
          <t>C-05</t>
        </is>
      </c>
    </row>
    <row r="99">
      <c r="A99" s="22" t="n">
        <v>10</v>
      </c>
      <c r="B99" s="23" t="inlineStr">
        <is>
          <t>搬入・運搬・副資材</t>
        </is>
      </c>
      <c r="C99" s="23" t="inlineStr"/>
      <c r="D99" s="24" t="n">
        <v>1</v>
      </c>
      <c r="E99" s="22" t="inlineStr">
        <is>
          <t>式</t>
        </is>
      </c>
      <c r="F99" s="24" t="n">
        <v>93800</v>
      </c>
      <c r="G99" s="24">
        <f>ROUND(D99*F99,0)</f>
        <v/>
      </c>
      <c r="H99" s="23" t="inlineStr"/>
    </row>
    <row r="100">
      <c r="A100" s="25" t="n"/>
      <c r="B100" s="26" t="inlineStr">
        <is>
          <t>金物工事 小計</t>
        </is>
      </c>
      <c r="C100" s="25" t="n"/>
      <c r="D100" s="25" t="n"/>
      <c r="E100" s="25" t="n"/>
      <c r="F100" s="25" t="n"/>
      <c r="G100" s="27">
        <f>SUM(G90:G99)</f>
        <v/>
      </c>
      <c r="H100" s="25" t="n"/>
    </row>
    <row r="102">
      <c r="A102" s="21" t="inlineStr">
        <is>
          <t>07 木工造作工事</t>
        </is>
      </c>
    </row>
    <row r="103">
      <c r="A103" s="22" t="n">
        <v>1</v>
      </c>
      <c r="B103" s="23" t="inlineStr">
        <is>
          <t>レジバック下地コンパネ張り</t>
        </is>
      </c>
      <c r="C103" s="23" t="inlineStr"/>
      <c r="D103" s="24" t="n">
        <v>1</v>
      </c>
      <c r="E103" s="22" t="inlineStr">
        <is>
          <t>式</t>
        </is>
      </c>
      <c r="F103" s="24" t="n">
        <v>62500</v>
      </c>
      <c r="G103" s="24">
        <f>ROUND(D103*F103,0)</f>
        <v/>
      </c>
      <c r="H103" s="23" t="inlineStr">
        <is>
          <t>C-03（造作本体は支給什器）</t>
        </is>
      </c>
    </row>
    <row r="104">
      <c r="A104" s="22" t="n">
        <v>2</v>
      </c>
      <c r="B104" s="23" t="inlineStr">
        <is>
          <t>HC用手摺</t>
        </is>
      </c>
      <c r="C104" s="23" t="inlineStr">
        <is>
          <t>TOTO</t>
        </is>
      </c>
      <c r="D104" s="24" t="n">
        <v>2</v>
      </c>
      <c r="E104" s="22" t="inlineStr">
        <is>
          <t>組</t>
        </is>
      </c>
      <c r="F104" s="24" t="n">
        <v>27500</v>
      </c>
      <c r="G104" s="24">
        <f>ROUND(D104*F104,0)</f>
        <v/>
      </c>
      <c r="H104" s="23" t="inlineStr"/>
    </row>
    <row r="105">
      <c r="A105" s="22" t="n">
        <v>3</v>
      </c>
      <c r="B105" s="23" t="inlineStr">
        <is>
          <t>POPケース用 木工下地</t>
        </is>
      </c>
      <c r="C105" s="23" t="inlineStr"/>
      <c r="D105" s="24" t="n">
        <v>21</v>
      </c>
      <c r="E105" s="22" t="inlineStr">
        <is>
          <t>ヶ所</t>
        </is>
      </c>
      <c r="F105" s="24" t="n">
        <v>3750</v>
      </c>
      <c r="G105" s="24">
        <f>ROUND(D105*F105,0)</f>
        <v/>
      </c>
      <c r="H105" s="23" t="inlineStr"/>
    </row>
    <row r="106">
      <c r="A106" s="22" t="n">
        <v>4</v>
      </c>
      <c r="B106" s="23" t="inlineStr">
        <is>
          <t>マスターキー対応</t>
        </is>
      </c>
      <c r="C106" s="23" t="inlineStr"/>
      <c r="D106" s="24" t="n">
        <v>1</v>
      </c>
      <c r="E106" s="22" t="inlineStr">
        <is>
          <t>式</t>
        </is>
      </c>
      <c r="F106" s="24" t="n">
        <v>37500</v>
      </c>
      <c r="G106" s="24">
        <f>ROUND(D106*F106,0)</f>
        <v/>
      </c>
      <c r="H106" s="23" t="inlineStr">
        <is>
          <t>建具表 注記</t>
        </is>
      </c>
    </row>
    <row r="107">
      <c r="A107" s="22" t="n">
        <v>5</v>
      </c>
      <c r="B107" s="23" t="inlineStr">
        <is>
          <t>補正室ミシン台上部棚板</t>
        </is>
      </c>
      <c r="C107" s="23" t="inlineStr">
        <is>
          <t>W1200×D350 ブラケット・下地共</t>
        </is>
      </c>
      <c r="D107" s="24" t="n">
        <v>3</v>
      </c>
      <c r="E107" s="22" t="inlineStr">
        <is>
          <t>台</t>
        </is>
      </c>
      <c r="F107" s="24" t="n">
        <v>31200</v>
      </c>
      <c r="G107" s="24">
        <f>ROUND(D107*F107,0)</f>
        <v/>
      </c>
      <c r="H107" s="23" t="inlineStr">
        <is>
          <t>F-03</t>
        </is>
      </c>
    </row>
    <row r="108">
      <c r="A108" s="22" t="n">
        <v>6</v>
      </c>
      <c r="B108" s="23" t="inlineStr">
        <is>
          <t>清掃用具掛・5ポイントフック・キーボックス</t>
        </is>
      </c>
      <c r="C108" s="23" t="inlineStr"/>
      <c r="D108" s="24" t="n">
        <v>1</v>
      </c>
      <c r="E108" s="22" t="inlineStr">
        <is>
          <t>式</t>
        </is>
      </c>
      <c r="F108" s="24" t="n">
        <v>45000</v>
      </c>
      <c r="G108" s="24">
        <f>ROUND(D108*F108,0)</f>
        <v/>
      </c>
      <c r="H108" s="23" t="inlineStr"/>
    </row>
    <row r="109">
      <c r="A109" s="22" t="n">
        <v>7</v>
      </c>
      <c r="B109" s="23" t="inlineStr">
        <is>
          <t>現場取付・副資材・運搬</t>
        </is>
      </c>
      <c r="C109" s="23" t="inlineStr"/>
      <c r="D109" s="24" t="n">
        <v>1</v>
      </c>
      <c r="E109" s="22" t="inlineStr">
        <is>
          <t>式</t>
        </is>
      </c>
      <c r="F109" s="24" t="n">
        <v>281200</v>
      </c>
      <c r="G109" s="24">
        <f>ROUND(D109*F109,0)</f>
        <v/>
      </c>
      <c r="H109" s="23" t="inlineStr"/>
    </row>
    <row r="110">
      <c r="A110" s="25" t="n"/>
      <c r="B110" s="26" t="inlineStr">
        <is>
          <t>木工造作工事 小計</t>
        </is>
      </c>
      <c r="C110" s="25" t="n"/>
      <c r="D110" s="25" t="n"/>
      <c r="E110" s="25" t="n"/>
      <c r="F110" s="25" t="n"/>
      <c r="G110" s="27">
        <f>SUM(G103:G109)</f>
        <v/>
      </c>
      <c r="H110" s="25" t="n"/>
    </row>
    <row r="112">
      <c r="A112" s="21" t="inlineStr">
        <is>
          <t>08 建具工事</t>
        </is>
      </c>
    </row>
    <row r="113">
      <c r="A113" s="22" t="n">
        <v>1</v>
      </c>
      <c r="B113" s="23" t="inlineStr">
        <is>
          <t>木製建具 片開き</t>
        </is>
      </c>
      <c r="C113" s="23" t="inlineStr">
        <is>
          <t>アイカ ポリメラ 三方枠共</t>
        </is>
      </c>
      <c r="D113" s="24" t="n">
        <v>4</v>
      </c>
      <c r="E113" s="22" t="inlineStr">
        <is>
          <t>組</t>
        </is>
      </c>
      <c r="F113" s="24" t="n">
        <v>140000</v>
      </c>
      <c r="G113" s="24">
        <f>ROUND(D113*F113,0)</f>
        <v/>
      </c>
      <c r="H113" s="23" t="inlineStr">
        <is>
          <t>建具表 WD-1A〜1D</t>
        </is>
      </c>
    </row>
    <row r="114">
      <c r="A114" s="22" t="n">
        <v>2</v>
      </c>
      <c r="B114" s="23" t="inlineStr">
        <is>
          <t>木製建具 親親開き</t>
        </is>
      </c>
      <c r="C114" s="23" t="inlineStr">
        <is>
          <t>召合せ フラットバー共</t>
        </is>
      </c>
      <c r="D114" s="24" t="n">
        <v>1</v>
      </c>
      <c r="E114" s="22" t="inlineStr">
        <is>
          <t>組</t>
        </is>
      </c>
      <c r="F114" s="24" t="n">
        <v>226200</v>
      </c>
      <c r="G114" s="24">
        <f>ROUND(D114*F114,0)</f>
        <v/>
      </c>
      <c r="H114" s="23" t="inlineStr">
        <is>
          <t>建具表 WD-3A</t>
        </is>
      </c>
    </row>
    <row r="115">
      <c r="A115" s="22" t="n">
        <v>3</v>
      </c>
      <c r="B115" s="23" t="inlineStr">
        <is>
          <t>金庫隠し扉・天板</t>
        </is>
      </c>
      <c r="C115" s="23" t="inlineStr"/>
      <c r="D115" s="24" t="n">
        <v>1</v>
      </c>
      <c r="E115" s="22" t="inlineStr">
        <is>
          <t>組</t>
        </is>
      </c>
      <c r="F115" s="24" t="n">
        <v>68800</v>
      </c>
      <c r="G115" s="24">
        <f>ROUND(D115*F115,0)</f>
        <v/>
      </c>
      <c r="H115" s="23" t="inlineStr">
        <is>
          <t>建具表 WD-5A</t>
        </is>
      </c>
    </row>
    <row r="116">
      <c r="A116" s="22" t="n">
        <v>4</v>
      </c>
      <c r="B116" s="23" t="inlineStr">
        <is>
          <t>金庫室壁面造作</t>
        </is>
      </c>
      <c r="C116" s="23" t="inlineStr">
        <is>
          <t>金庫下台共</t>
        </is>
      </c>
      <c r="D116" s="24" t="n">
        <v>1</v>
      </c>
      <c r="E116" s="22" t="inlineStr">
        <is>
          <t>式</t>
        </is>
      </c>
      <c r="F116" s="24" t="n">
        <v>25000</v>
      </c>
      <c r="G116" s="24">
        <f>ROUND(D116*F116,0)</f>
        <v/>
      </c>
      <c r="H116" s="23" t="inlineStr"/>
    </row>
    <row r="117">
      <c r="A117" s="22" t="n">
        <v>5</v>
      </c>
      <c r="B117" s="23" t="inlineStr">
        <is>
          <t>スチール片開き 鍵付 枠共</t>
        </is>
      </c>
      <c r="C117" s="23" t="inlineStr">
        <is>
          <t>W950×H2125 クローザー・戸当・本締錠・押棒</t>
        </is>
      </c>
      <c r="D117" s="24" t="n">
        <v>1</v>
      </c>
      <c r="E117" s="22" t="inlineStr">
        <is>
          <t>組</t>
        </is>
      </c>
      <c r="F117" s="24" t="n">
        <v>175000</v>
      </c>
      <c r="G117" s="24">
        <f>ROUND(D117*F117,0)</f>
        <v/>
      </c>
      <c r="H117" s="23" t="inlineStr">
        <is>
          <t>建具表 SD-1A</t>
        </is>
      </c>
    </row>
    <row r="118">
      <c r="A118" s="22" t="n">
        <v>6</v>
      </c>
      <c r="B118" s="23" t="inlineStr">
        <is>
          <t>FR小ブース三方枠（カーテン）</t>
        </is>
      </c>
      <c r="C118" s="23" t="inlineStr">
        <is>
          <t>オーク無垢＋素地CL W750</t>
        </is>
      </c>
      <c r="D118" s="24" t="n">
        <v>8</v>
      </c>
      <c r="E118" s="22" t="inlineStr">
        <is>
          <t>組</t>
        </is>
      </c>
      <c r="F118" s="24" t="n">
        <v>75000</v>
      </c>
      <c r="G118" s="24">
        <f>ROUND(D118*F118,0)</f>
        <v/>
      </c>
      <c r="H118" s="23" t="inlineStr">
        <is>
          <t>GU標準 FR小8</t>
        </is>
      </c>
    </row>
    <row r="119">
      <c r="A119" s="22" t="n">
        <v>7</v>
      </c>
      <c r="B119" s="23" t="inlineStr">
        <is>
          <t>FRブース 建具付三方枠</t>
        </is>
      </c>
      <c r="C119" s="23" t="inlineStr">
        <is>
          <t>ポリメラ</t>
        </is>
      </c>
      <c r="D119" s="24" t="n">
        <v>1</v>
      </c>
      <c r="E119" s="22" t="inlineStr">
        <is>
          <t>組</t>
        </is>
      </c>
      <c r="F119" s="24" t="n">
        <v>160000</v>
      </c>
      <c r="G119" s="24">
        <f>ROUND(D119*F119,0)</f>
        <v/>
      </c>
      <c r="H119" s="23" t="inlineStr">
        <is>
          <t>建具表 WD-4A</t>
        </is>
      </c>
    </row>
    <row r="120">
      <c r="A120" s="22" t="n">
        <v>8</v>
      </c>
      <c r="B120" s="23" t="inlineStr">
        <is>
          <t>FR HCブース三方枠（カーテン）</t>
        </is>
      </c>
      <c r="C120" s="23" t="inlineStr">
        <is>
          <t>オーク無垢 W1450</t>
        </is>
      </c>
      <c r="D120" s="24" t="n">
        <v>1</v>
      </c>
      <c r="E120" s="22" t="inlineStr">
        <is>
          <t>ヶ所</t>
        </is>
      </c>
      <c r="F120" s="24" t="n">
        <v>85000</v>
      </c>
      <c r="G120" s="24">
        <f>ROUND(D120*F120,0)</f>
        <v/>
      </c>
      <c r="H120" s="23" t="inlineStr"/>
    </row>
    <row r="121">
      <c r="A121" s="22" t="n">
        <v>9</v>
      </c>
      <c r="B121" s="23" t="inlineStr">
        <is>
          <t>建具枠保護ガード</t>
        </is>
      </c>
      <c r="C121" s="23" t="inlineStr"/>
      <c r="D121" s="24" t="n">
        <v>1</v>
      </c>
      <c r="E121" s="22" t="inlineStr">
        <is>
          <t>式</t>
        </is>
      </c>
      <c r="F121" s="24" t="n">
        <v>6250</v>
      </c>
      <c r="G121" s="24">
        <f>ROUND(D121*F121,0)</f>
        <v/>
      </c>
      <c r="H121" s="23" t="inlineStr"/>
    </row>
    <row r="122">
      <c r="A122" s="22" t="n">
        <v>10</v>
      </c>
      <c r="B122" s="23" t="inlineStr">
        <is>
          <t>現場取付・運搬</t>
        </is>
      </c>
      <c r="C122" s="23" t="inlineStr"/>
      <c r="D122" s="24" t="n">
        <v>1</v>
      </c>
      <c r="E122" s="22" t="inlineStr">
        <is>
          <t>式</t>
        </is>
      </c>
      <c r="F122" s="24" t="n">
        <v>387500</v>
      </c>
      <c r="G122" s="24">
        <f>ROUND(D122*F122,0)</f>
        <v/>
      </c>
      <c r="H122" s="23" t="inlineStr"/>
    </row>
    <row r="123">
      <c r="A123" s="25" t="n"/>
      <c r="B123" s="26" t="inlineStr">
        <is>
          <t>建具工事 小計</t>
        </is>
      </c>
      <c r="C123" s="25" t="n"/>
      <c r="D123" s="25" t="n"/>
      <c r="E123" s="25" t="n"/>
      <c r="F123" s="25" t="n"/>
      <c r="G123" s="27">
        <f>SUM(G113:G122)</f>
        <v/>
      </c>
      <c r="H123" s="25" t="n"/>
    </row>
    <row r="125">
      <c r="A125" s="21" t="inlineStr">
        <is>
          <t>09 ガラス工事</t>
        </is>
      </c>
    </row>
    <row r="126">
      <c r="A126" s="22" t="n">
        <v>1</v>
      </c>
      <c r="B126" s="23" t="inlineStr">
        <is>
          <t>柱巻きミラー</t>
        </is>
      </c>
      <c r="C126" s="23" t="inlineStr">
        <is>
          <t>W600×H1800 t5 四方ミラーエッジ</t>
        </is>
      </c>
      <c r="D126" s="24" t="n">
        <v>14</v>
      </c>
      <c r="E126" s="22" t="inlineStr">
        <is>
          <t>枚</t>
        </is>
      </c>
      <c r="F126" s="24" t="n">
        <v>11500</v>
      </c>
      <c r="G126" s="24">
        <f>ROUND(D126*F126,0)</f>
        <v/>
      </c>
      <c r="H126" s="23" t="inlineStr"/>
    </row>
    <row r="127">
      <c r="A127" s="22" t="n">
        <v>2</v>
      </c>
      <c r="B127" s="23" t="inlineStr">
        <is>
          <t>壁面出柱ミラー</t>
        </is>
      </c>
      <c r="C127" s="23" t="inlineStr">
        <is>
          <t>W600×H1800 t5</t>
        </is>
      </c>
      <c r="D127" s="24" t="n">
        <v>5</v>
      </c>
      <c r="E127" s="22" t="inlineStr">
        <is>
          <t>枚</t>
        </is>
      </c>
      <c r="F127" s="24" t="n">
        <v>11500</v>
      </c>
      <c r="G127" s="24">
        <f>ROUND(D127*F127,0)</f>
        <v/>
      </c>
      <c r="H127" s="23" t="inlineStr"/>
    </row>
    <row r="128">
      <c r="A128" s="22" t="n">
        <v>3</v>
      </c>
      <c r="B128" s="23" t="inlineStr">
        <is>
          <t>ミラーエッジ</t>
        </is>
      </c>
      <c r="C128" s="23" t="inlineStr">
        <is>
          <t>25×25 Lアングル黒皮風</t>
        </is>
      </c>
      <c r="D128" s="24" t="n">
        <v>19</v>
      </c>
      <c r="E128" s="22" t="inlineStr">
        <is>
          <t>ヶ所</t>
        </is>
      </c>
      <c r="F128" s="24" t="n">
        <v>17500</v>
      </c>
      <c r="G128" s="24">
        <f>ROUND(D128*F128,0)</f>
        <v/>
      </c>
      <c r="H128" s="23" t="inlineStr"/>
    </row>
    <row r="129">
      <c r="A129" s="22" t="n">
        <v>4</v>
      </c>
      <c r="B129" s="23" t="inlineStr">
        <is>
          <t>ミラー持ち出しPB</t>
        </is>
      </c>
      <c r="C129" s="23" t="inlineStr">
        <is>
          <t>施工費込</t>
        </is>
      </c>
      <c r="D129" s="24" t="n">
        <v>19</v>
      </c>
      <c r="E129" s="22" t="inlineStr">
        <is>
          <t>箇所</t>
        </is>
      </c>
      <c r="F129" s="24" t="n">
        <v>5380</v>
      </c>
      <c r="G129" s="24">
        <f>ROUND(D129*F129,0)</f>
        <v/>
      </c>
      <c r="H129" s="23" t="inlineStr"/>
    </row>
    <row r="130">
      <c r="A130" s="22" t="n">
        <v>5</v>
      </c>
      <c r="B130" s="23" t="inlineStr">
        <is>
          <t>FRミラー</t>
        </is>
      </c>
      <c r="C130" s="23" t="inlineStr">
        <is>
          <t>t5 W700×H1800</t>
        </is>
      </c>
      <c r="D130" s="24" t="n">
        <v>10</v>
      </c>
      <c r="E130" s="22" t="inlineStr">
        <is>
          <t>枚</t>
        </is>
      </c>
      <c r="F130" s="24" t="n">
        <v>11500</v>
      </c>
      <c r="G130" s="24">
        <f>ROUND(D130*F130,0)</f>
        <v/>
      </c>
      <c r="H130" s="23" t="inlineStr">
        <is>
          <t>FR10ブース</t>
        </is>
      </c>
    </row>
    <row r="131">
      <c r="A131" s="22" t="n">
        <v>6</v>
      </c>
      <c r="B131" s="23" t="inlineStr">
        <is>
          <t>スタッフルームミラー</t>
        </is>
      </c>
      <c r="C131" s="23" t="inlineStr">
        <is>
          <t>t5 W600×H1800</t>
        </is>
      </c>
      <c r="D131" s="24" t="n">
        <v>1</v>
      </c>
      <c r="E131" s="22" t="inlineStr">
        <is>
          <t>枚</t>
        </is>
      </c>
      <c r="F131" s="24" t="n">
        <v>11500</v>
      </c>
      <c r="G131" s="24">
        <f>ROUND(D131*F131,0)</f>
        <v/>
      </c>
      <c r="H131" s="23" t="inlineStr"/>
    </row>
    <row r="132">
      <c r="A132" s="22" t="n">
        <v>7</v>
      </c>
      <c r="B132" s="23" t="inlineStr">
        <is>
          <t>雑シリコンコーキング</t>
        </is>
      </c>
      <c r="C132" s="23" t="inlineStr"/>
      <c r="D132" s="24" t="n">
        <v>300</v>
      </c>
      <c r="E132" s="22" t="inlineStr">
        <is>
          <t>m</t>
        </is>
      </c>
      <c r="F132" s="24" t="n">
        <v>440</v>
      </c>
      <c r="G132" s="24">
        <f>ROUND(D132*F132,0)</f>
        <v/>
      </c>
      <c r="H132" s="23" t="inlineStr"/>
    </row>
    <row r="133">
      <c r="A133" s="22" t="n">
        <v>8</v>
      </c>
      <c r="B133" s="23" t="inlineStr">
        <is>
          <t>ガラス施工費</t>
        </is>
      </c>
      <c r="C133" s="23" t="inlineStr"/>
      <c r="D133" s="24" t="n">
        <v>14</v>
      </c>
      <c r="E133" s="22" t="inlineStr">
        <is>
          <t>人工</t>
        </is>
      </c>
      <c r="F133" s="24" t="n">
        <v>37500</v>
      </c>
      <c r="G133" s="24">
        <f>ROUND(D133*F133,0)</f>
        <v/>
      </c>
      <c r="H133" s="23" t="inlineStr"/>
    </row>
    <row r="134">
      <c r="A134" s="22" t="n">
        <v>9</v>
      </c>
      <c r="B134" s="23" t="inlineStr">
        <is>
          <t>運搬・副資材</t>
        </is>
      </c>
      <c r="C134" s="23" t="inlineStr"/>
      <c r="D134" s="24" t="n">
        <v>1</v>
      </c>
      <c r="E134" s="22" t="inlineStr">
        <is>
          <t>式</t>
        </is>
      </c>
      <c r="F134" s="24" t="n">
        <v>43800</v>
      </c>
      <c r="G134" s="24">
        <f>ROUND(D134*F134,0)</f>
        <v/>
      </c>
      <c r="H134" s="23" t="inlineStr"/>
    </row>
    <row r="135">
      <c r="A135" s="25" t="n"/>
      <c r="B135" s="26" t="inlineStr">
        <is>
          <t>ガラス工事 小計</t>
        </is>
      </c>
      <c r="C135" s="25" t="n"/>
      <c r="D135" s="25" t="n"/>
      <c r="E135" s="25" t="n"/>
      <c r="F135" s="25" t="n"/>
      <c r="G135" s="27">
        <f>SUM(G126:G134)</f>
        <v/>
      </c>
      <c r="H135" s="25" t="n"/>
    </row>
    <row r="137">
      <c r="A137" s="21" t="inlineStr">
        <is>
          <t>10 サイン工事</t>
        </is>
      </c>
    </row>
    <row r="138">
      <c r="A138" s="22" t="n">
        <v>1</v>
      </c>
      <c r="B138" s="23" t="inlineStr">
        <is>
          <t>店頭LEDサイン 下地出し・取付</t>
        </is>
      </c>
      <c r="C138" s="23" t="inlineStr">
        <is>
          <t>GU LED 600□【支給品】</t>
        </is>
      </c>
      <c r="D138" s="24" t="n">
        <v>5</v>
      </c>
      <c r="E138" s="22" t="inlineStr">
        <is>
          <t>台</t>
        </is>
      </c>
      <c r="F138" s="24" t="n">
        <v>20600</v>
      </c>
      <c r="G138" s="24">
        <f>ROUND(D138*F138,0)</f>
        <v/>
      </c>
      <c r="H138" s="23" t="inlineStr">
        <is>
          <t>G-10</t>
        </is>
      </c>
    </row>
    <row r="139">
      <c r="A139" s="22" t="n">
        <v>2</v>
      </c>
      <c r="B139" s="23" t="inlineStr">
        <is>
          <t>店頭LEDサイン 全埋込</t>
        </is>
      </c>
      <c r="C139" s="23" t="inlineStr">
        <is>
          <t>450□【支給品】下地・枠金物・エースライト・取付</t>
        </is>
      </c>
      <c r="D139" s="24" t="n">
        <v>2</v>
      </c>
      <c r="E139" s="22" t="inlineStr">
        <is>
          <t>台</t>
        </is>
      </c>
      <c r="F139" s="24" t="n">
        <v>143800</v>
      </c>
      <c r="G139" s="24">
        <f>ROUND(D139*F139,0)</f>
        <v/>
      </c>
      <c r="H139" s="23" t="inlineStr"/>
    </row>
    <row r="140">
      <c r="A140" s="22" t="n">
        <v>3</v>
      </c>
      <c r="B140" s="23" t="inlineStr">
        <is>
          <t>サッシ内LEDサイン 取付</t>
        </is>
      </c>
      <c r="C140" s="23" t="inlineStr">
        <is>
          <t>1200□【支給品】</t>
        </is>
      </c>
      <c r="D140" s="24" t="n">
        <v>2</v>
      </c>
      <c r="E140" s="22" t="inlineStr">
        <is>
          <t>人工</t>
        </is>
      </c>
      <c r="F140" s="24" t="n">
        <v>37500</v>
      </c>
      <c r="G140" s="24">
        <f>ROUND(D140*F140,0)</f>
        <v/>
      </c>
      <c r="H140" s="23" t="inlineStr">
        <is>
          <t>G-05</t>
        </is>
      </c>
    </row>
    <row r="141">
      <c r="A141" s="22" t="n">
        <v>4</v>
      </c>
      <c r="B141" s="23" t="inlineStr">
        <is>
          <t>LEDサイン用スチールボックス</t>
        </is>
      </c>
      <c r="C141" s="23" t="inlineStr">
        <is>
          <t>600×600 設置費込 開口補強共</t>
        </is>
      </c>
      <c r="D141" s="24" t="n">
        <v>1</v>
      </c>
      <c r="E141" s="22" t="inlineStr">
        <is>
          <t>ヶ所</t>
        </is>
      </c>
      <c r="F141" s="24" t="n">
        <v>125000</v>
      </c>
      <c r="G141" s="24">
        <f>ROUND(D141*F141,0)</f>
        <v/>
      </c>
      <c r="H141" s="23" t="inlineStr"/>
    </row>
    <row r="142">
      <c r="A142" s="22" t="n">
        <v>5</v>
      </c>
      <c r="B142" s="23" t="inlineStr">
        <is>
          <t>レジバックLED・キャッシャーLEDサイン 取付</t>
        </is>
      </c>
      <c r="C142" s="23" t="inlineStr">
        <is>
          <t>【支給品】化粧パイプ・下地補強・取付</t>
        </is>
      </c>
      <c r="D142" s="24" t="n">
        <v>1</v>
      </c>
      <c r="E142" s="22" t="inlineStr">
        <is>
          <t>式</t>
        </is>
      </c>
      <c r="F142" s="24" t="n">
        <v>362500</v>
      </c>
      <c r="G142" s="24">
        <f>ROUND(D142*F142,0)</f>
        <v/>
      </c>
      <c r="H142" s="23" t="inlineStr">
        <is>
          <t>G-08 / G-09</t>
        </is>
      </c>
    </row>
    <row r="143">
      <c r="A143" s="22" t="n">
        <v>6</v>
      </c>
      <c r="B143" s="23" t="inlineStr">
        <is>
          <t>通路カテゴリー誘導サイン</t>
        </is>
      </c>
      <c r="C143" s="23" t="inlineStr">
        <is>
          <t>木工＋アクリル t30</t>
        </is>
      </c>
      <c r="D143" s="24" t="n">
        <v>6</v>
      </c>
      <c r="E143" s="22" t="inlineStr">
        <is>
          <t>組</t>
        </is>
      </c>
      <c r="F143" s="24" t="n">
        <v>150000</v>
      </c>
      <c r="G143" s="24">
        <f>ROUND(D143*F143,0)</f>
        <v/>
      </c>
      <c r="H143" s="23" t="inlineStr">
        <is>
          <t>GU標準化項目</t>
        </is>
      </c>
    </row>
    <row r="144">
      <c r="A144" s="22" t="n">
        <v>7</v>
      </c>
      <c r="B144" s="23" t="inlineStr">
        <is>
          <t>FR入口ボーダーサイン</t>
        </is>
      </c>
      <c r="C144" s="23" t="inlineStr">
        <is>
          <t>木工＋アクリル</t>
        </is>
      </c>
      <c r="D144" s="24" t="n">
        <v>1</v>
      </c>
      <c r="E144" s="22" t="inlineStr">
        <is>
          <t>組</t>
        </is>
      </c>
      <c r="F144" s="24" t="n">
        <v>100000</v>
      </c>
      <c r="G144" s="24">
        <f>ROUND(D144*F144,0)</f>
        <v/>
      </c>
      <c r="H144" s="23" t="inlineStr"/>
    </row>
    <row r="145">
      <c r="A145" s="22" t="n">
        <v>8</v>
      </c>
      <c r="B145" s="23" t="inlineStr">
        <is>
          <t>柱面CSサイン</t>
        </is>
      </c>
      <c r="C145" s="23" t="inlineStr">
        <is>
          <t>CS切り文字</t>
        </is>
      </c>
      <c r="D145" s="24" t="n">
        <v>10</v>
      </c>
      <c r="E145" s="22" t="inlineStr">
        <is>
          <t>組</t>
        </is>
      </c>
      <c r="F145" s="24" t="n">
        <v>12500</v>
      </c>
      <c r="G145" s="24">
        <f>ROUND(D145*F145,0)</f>
        <v/>
      </c>
      <c r="H145" s="23" t="inlineStr"/>
    </row>
    <row r="146">
      <c r="A146" s="22" t="n">
        <v>9</v>
      </c>
      <c r="B146" s="23" t="inlineStr">
        <is>
          <t>FRナンバープレート・STAFF ONLY・ミラードット</t>
        </is>
      </c>
      <c r="C146" s="23" t="inlineStr"/>
      <c r="D146" s="24" t="n">
        <v>1</v>
      </c>
      <c r="E146" s="22" t="inlineStr">
        <is>
          <t>式</t>
        </is>
      </c>
      <c r="F146" s="24" t="n">
        <v>31200</v>
      </c>
      <c r="G146" s="24">
        <f>ROUND(D146*F146,0)</f>
        <v/>
      </c>
      <c r="H146" s="23" t="inlineStr">
        <is>
          <t>G-02</t>
        </is>
      </c>
    </row>
    <row r="147">
      <c r="A147" s="22" t="n">
        <v>10</v>
      </c>
      <c r="B147" s="23" t="inlineStr">
        <is>
          <t>補正価格ケース</t>
        </is>
      </c>
      <c r="C147" s="23" t="inlineStr">
        <is>
          <t>日本コバック</t>
        </is>
      </c>
      <c r="D147" s="24" t="n">
        <v>20</v>
      </c>
      <c r="E147" s="22" t="inlineStr">
        <is>
          <t>個</t>
        </is>
      </c>
      <c r="F147" s="24" t="n">
        <v>3420</v>
      </c>
      <c r="G147" s="24">
        <f>ROUND(D147*F147,0)</f>
        <v/>
      </c>
      <c r="H147" s="23" t="inlineStr"/>
    </row>
    <row r="148">
      <c r="A148" s="22" t="n">
        <v>11</v>
      </c>
      <c r="B148" s="23" t="inlineStr">
        <is>
          <t>サイン取付費</t>
        </is>
      </c>
      <c r="C148" s="23" t="inlineStr"/>
      <c r="D148" s="24" t="n">
        <v>9</v>
      </c>
      <c r="E148" s="22" t="inlineStr">
        <is>
          <t>人工</t>
        </is>
      </c>
      <c r="F148" s="24" t="n">
        <v>37500</v>
      </c>
      <c r="G148" s="24">
        <f>ROUND(D148*F148,0)</f>
        <v/>
      </c>
      <c r="H148" s="23" t="inlineStr"/>
    </row>
    <row r="149">
      <c r="A149" s="22" t="n">
        <v>12</v>
      </c>
      <c r="B149" s="23" t="inlineStr">
        <is>
          <t>運搬・副資材</t>
        </is>
      </c>
      <c r="C149" s="23" t="inlineStr"/>
      <c r="D149" s="24" t="n">
        <v>1</v>
      </c>
      <c r="E149" s="22" t="inlineStr">
        <is>
          <t>式</t>
        </is>
      </c>
      <c r="F149" s="24" t="n">
        <v>150000</v>
      </c>
      <c r="G149" s="24">
        <f>ROUND(D149*F149,0)</f>
        <v/>
      </c>
      <c r="H149" s="23" t="inlineStr"/>
    </row>
    <row r="150">
      <c r="A150" s="25" t="n"/>
      <c r="B150" s="26" t="inlineStr">
        <is>
          <t>サイン工事 小計</t>
        </is>
      </c>
      <c r="C150" s="25" t="n"/>
      <c r="D150" s="25" t="n"/>
      <c r="E150" s="25" t="n"/>
      <c r="F150" s="25" t="n"/>
      <c r="G150" s="27">
        <f>SUM(G138:G149)</f>
        <v/>
      </c>
      <c r="H150" s="25" t="n"/>
    </row>
    <row r="152">
      <c r="A152" s="21" t="inlineStr">
        <is>
          <t>11 照明・電気工事</t>
        </is>
      </c>
    </row>
    <row r="153">
      <c r="A153" s="22" t="n">
        <v>1</v>
      </c>
      <c r="B153" s="23" t="inlineStr">
        <is>
          <t>電灯分電盤</t>
        </is>
      </c>
      <c r="C153" s="23" t="inlineStr">
        <is>
          <t>河村電器 自立 マグネット盤・アースバー（メーター別途）</t>
        </is>
      </c>
      <c r="D153" s="24" t="n">
        <v>2</v>
      </c>
      <c r="E153" s="22" t="inlineStr">
        <is>
          <t>面</t>
        </is>
      </c>
      <c r="F153" s="24" t="n">
        <v>625000</v>
      </c>
      <c r="G153" s="24">
        <f>ROUND(D153*F153,0)</f>
        <v/>
      </c>
      <c r="H153" s="23" t="inlineStr">
        <is>
          <t>盤図 電灯盤-1/-2</t>
        </is>
      </c>
    </row>
    <row r="154">
      <c r="A154" s="22" t="n">
        <v>2</v>
      </c>
      <c r="B154" s="23" t="inlineStr">
        <is>
          <t>分電盤 幹線接続・取付下地補強</t>
        </is>
      </c>
      <c r="C154" s="23" t="inlineStr"/>
      <c r="D154" s="24" t="n">
        <v>1</v>
      </c>
      <c r="E154" s="22" t="inlineStr">
        <is>
          <t>式</t>
        </is>
      </c>
      <c r="F154" s="24" t="n">
        <v>68800</v>
      </c>
      <c r="G154" s="24">
        <f>ROUND(D154*F154,0)</f>
        <v/>
      </c>
      <c r="H154" s="23" t="inlineStr"/>
    </row>
    <row r="155">
      <c r="A155" s="22" t="n">
        <v>3</v>
      </c>
      <c r="B155" s="23" t="inlineStr">
        <is>
          <t>ダウンライト 開口・取付・配線</t>
        </is>
      </c>
      <c r="C155" s="23" t="inlineStr">
        <is>
          <t>【器具GU支給】</t>
        </is>
      </c>
      <c r="D155" s="24" t="n">
        <v>396</v>
      </c>
      <c r="E155" s="22" t="inlineStr">
        <is>
          <t>ヶ所</t>
        </is>
      </c>
      <c r="F155" s="24" t="n">
        <v>5620</v>
      </c>
      <c r="G155" s="24">
        <f>ROUND(D155*F155,0)</f>
        <v/>
      </c>
      <c r="H155" s="23" t="inlineStr">
        <is>
          <t>照明器具表 BD262＋UD134（実績375）</t>
        </is>
      </c>
    </row>
    <row r="156">
      <c r="A156" s="22" t="n">
        <v>4</v>
      </c>
      <c r="B156" s="23" t="inlineStr">
        <is>
          <t>ダウンライト 落下防止ワイヤー</t>
        </is>
      </c>
      <c r="C156" s="23" t="inlineStr">
        <is>
          <t>ワイヤー支給</t>
        </is>
      </c>
      <c r="D156" s="24" t="n">
        <v>396</v>
      </c>
      <c r="E156" s="22" t="inlineStr">
        <is>
          <t>ヶ所</t>
        </is>
      </c>
      <c r="F156" s="24" t="n">
        <v>880</v>
      </c>
      <c r="G156" s="24">
        <f>ROUND(D156*F156,0)</f>
        <v/>
      </c>
      <c r="H156" s="23" t="inlineStr"/>
    </row>
    <row r="157">
      <c r="A157" s="22" t="n">
        <v>5</v>
      </c>
      <c r="B157" s="23" t="inlineStr">
        <is>
          <t>直付器具・スポット 取付・配線</t>
        </is>
      </c>
      <c r="C157" s="23" t="inlineStr">
        <is>
          <t>BL13＋SP28【器具GU支給】</t>
        </is>
      </c>
      <c r="D157" s="24" t="n">
        <v>41</v>
      </c>
      <c r="E157" s="22" t="inlineStr">
        <is>
          <t>ヶ所</t>
        </is>
      </c>
      <c r="F157" s="24" t="n">
        <v>5000</v>
      </c>
      <c r="G157" s="24">
        <f>ROUND(D157*F157,0)</f>
        <v/>
      </c>
      <c r="H157" s="23" t="inlineStr">
        <is>
          <t>照明器具表</t>
        </is>
      </c>
    </row>
    <row r="158">
      <c r="A158" s="22" t="n">
        <v>6</v>
      </c>
      <c r="B158" s="23" t="inlineStr">
        <is>
          <t>間接照明 取付・配線・設置金物</t>
        </is>
      </c>
      <c r="C158" s="23" t="inlineStr">
        <is>
          <t>壁面スリット部</t>
        </is>
      </c>
      <c r="D158" s="24" t="n">
        <v>22</v>
      </c>
      <c r="E158" s="22" t="inlineStr">
        <is>
          <t>ヶ所</t>
        </is>
      </c>
      <c r="F158" s="24" t="n">
        <v>7500</v>
      </c>
      <c r="G158" s="24">
        <f>ROUND(D158*F158,0)</f>
        <v/>
      </c>
      <c r="H158" s="23" t="inlineStr"/>
    </row>
    <row r="159">
      <c r="A159" s="22" t="n">
        <v>7</v>
      </c>
      <c r="B159" s="23" t="inlineStr">
        <is>
          <t>配線ダクト・レースウェイ</t>
        </is>
      </c>
      <c r="C159" s="23" t="inlineStr">
        <is>
          <t>器具取付・付属品・支持材共</t>
        </is>
      </c>
      <c r="D159" s="24" t="n">
        <v>1</v>
      </c>
      <c r="E159" s="22" t="inlineStr">
        <is>
          <t>式</t>
        </is>
      </c>
      <c r="F159" s="24" t="n">
        <v>288800</v>
      </c>
      <c r="G159" s="24">
        <f>ROUND(D159*F159,0)</f>
        <v/>
      </c>
      <c r="H159" s="23" t="inlineStr"/>
    </row>
    <row r="160">
      <c r="A160" s="22" t="n">
        <v>8</v>
      </c>
      <c r="B160" s="23" t="inlineStr">
        <is>
          <t>スイッチ 取付・配線（3路含む）</t>
        </is>
      </c>
      <c r="C160" s="23" t="inlineStr">
        <is>
          <t>カバー共</t>
        </is>
      </c>
      <c r="D160" s="24" t="n">
        <v>36</v>
      </c>
      <c r="E160" s="22" t="inlineStr">
        <is>
          <t>ヶ所</t>
        </is>
      </c>
      <c r="F160" s="24" t="n">
        <v>5620</v>
      </c>
      <c r="G160" s="24">
        <f>ROUND(D160*F160,0)</f>
        <v/>
      </c>
      <c r="H160" s="23" t="inlineStr">
        <is>
          <t>平面図 SW位置</t>
        </is>
      </c>
    </row>
    <row r="161">
      <c r="A161" s="22" t="n">
        <v>9</v>
      </c>
      <c r="B161" s="23" t="inlineStr">
        <is>
          <t>コンセント 取付・配線</t>
        </is>
      </c>
      <c r="C161" s="23" t="inlineStr">
        <is>
          <t>防犯ゲート・RFID含む</t>
        </is>
      </c>
      <c r="D161" s="24" t="n">
        <v>87</v>
      </c>
      <c r="E161" s="22" t="inlineStr">
        <is>
          <t>ヶ所</t>
        </is>
      </c>
      <c r="F161" s="24" t="n">
        <v>5620</v>
      </c>
      <c r="G161" s="24">
        <f>ROUND(D161*F161,0)</f>
        <v/>
      </c>
      <c r="H161" s="23" t="inlineStr">
        <is>
          <t>照明器具表 41＋42＋4</t>
        </is>
      </c>
    </row>
    <row r="162">
      <c r="A162" s="22" t="n">
        <v>10</v>
      </c>
      <c r="B162" s="23" t="inlineStr">
        <is>
          <t>カットリレーコンセント</t>
        </is>
      </c>
      <c r="C162" s="23" t="inlineStr">
        <is>
          <t>本体＋配線（信号線つなぎ別途）</t>
        </is>
      </c>
      <c r="D162" s="24" t="n">
        <v>1</v>
      </c>
      <c r="E162" s="22" t="inlineStr">
        <is>
          <t>ヶ所</t>
        </is>
      </c>
      <c r="F162" s="24" t="n">
        <v>100000</v>
      </c>
      <c r="G162" s="24">
        <f>ROUND(D162*F162,0)</f>
        <v/>
      </c>
      <c r="H162" s="23" t="inlineStr"/>
    </row>
    <row r="163">
      <c r="A163" s="22" t="n">
        <v>11</v>
      </c>
      <c r="B163" s="23" t="inlineStr">
        <is>
          <t>セルフレジ埋設コンセント</t>
        </is>
      </c>
      <c r="C163" s="23" t="inlineStr"/>
      <c r="D163" s="24" t="n">
        <v>1</v>
      </c>
      <c r="E163" s="22" t="inlineStr">
        <is>
          <t>式</t>
        </is>
      </c>
      <c r="F163" s="24" t="n">
        <v>31200</v>
      </c>
      <c r="G163" s="24">
        <f>ROUND(D163*F163,0)</f>
        <v/>
      </c>
      <c r="H163" s="23" t="inlineStr"/>
    </row>
    <row r="164">
      <c r="A164" s="22" t="n">
        <v>12</v>
      </c>
      <c r="B164" s="23" t="inlineStr">
        <is>
          <t>LEDサイン用 電源送り</t>
        </is>
      </c>
      <c r="C164" s="23" t="inlineStr"/>
      <c r="D164" s="24" t="n">
        <v>5</v>
      </c>
      <c r="E164" s="22" t="inlineStr">
        <is>
          <t>ヶ所</t>
        </is>
      </c>
      <c r="F164" s="24" t="n">
        <v>15000</v>
      </c>
      <c r="G164" s="24">
        <f>ROUND(D164*F164,0)</f>
        <v/>
      </c>
      <c r="H164" s="23" t="inlineStr"/>
    </row>
    <row r="165">
      <c r="A165" s="22" t="n">
        <v>13</v>
      </c>
      <c r="B165" s="23" t="inlineStr">
        <is>
          <t>分岐回路工事</t>
        </is>
      </c>
      <c r="C165" s="23" t="inlineStr">
        <is>
          <t>回路毎の配線 材工</t>
        </is>
      </c>
      <c r="D165" s="24" t="n">
        <v>49</v>
      </c>
      <c r="E165" s="22" t="inlineStr">
        <is>
          <t>回路</t>
        </is>
      </c>
      <c r="F165" s="24" t="n">
        <v>6880</v>
      </c>
      <c r="G165" s="24">
        <f>ROUND(D165*F165,0)</f>
        <v/>
      </c>
      <c r="H165" s="23" t="inlineStr">
        <is>
          <t>盤図 分岐回路数</t>
        </is>
      </c>
    </row>
    <row r="166">
      <c r="A166" s="22" t="n">
        <v>14</v>
      </c>
      <c r="B166" s="23" t="inlineStr">
        <is>
          <t>分岐回路工事 空調・換気・動力</t>
        </is>
      </c>
      <c r="C166" s="23" t="inlineStr"/>
      <c r="D166" s="24" t="n">
        <v>9</v>
      </c>
      <c r="E166" s="22" t="inlineStr">
        <is>
          <t>回路</t>
        </is>
      </c>
      <c r="F166" s="24" t="n">
        <v>8120</v>
      </c>
      <c r="G166" s="24">
        <f>ROUND(D166*F166,0)</f>
        <v/>
      </c>
      <c r="H166" s="23" t="inlineStr"/>
    </row>
    <row r="167">
      <c r="A167" s="22" t="n">
        <v>15</v>
      </c>
      <c r="B167" s="23" t="inlineStr">
        <is>
          <t>弱電空配管</t>
        </is>
      </c>
      <c r="C167" s="23" t="inlineStr">
        <is>
          <t>NTT・有線・POS・LAN・音響 22〜28Φ</t>
        </is>
      </c>
      <c r="D167" s="24" t="n">
        <v>51</v>
      </c>
      <c r="E167" s="22" t="inlineStr">
        <is>
          <t>ヶ所</t>
        </is>
      </c>
      <c r="F167" s="24" t="n">
        <v>7500</v>
      </c>
      <c r="G167" s="24">
        <f>ROUND(D167*F167,0)</f>
        <v/>
      </c>
      <c r="H167" s="23" t="inlineStr">
        <is>
          <t>照明器具表 POS/TEL/FAX 20＋各所</t>
        </is>
      </c>
    </row>
    <row r="168">
      <c r="A168" s="22" t="n">
        <v>16</v>
      </c>
      <c r="B168" s="23" t="inlineStr">
        <is>
          <t>同上用 天井点検口</t>
        </is>
      </c>
      <c r="C168" s="23" t="inlineStr">
        <is>
          <t>450角</t>
        </is>
      </c>
      <c r="D168" s="24" t="n">
        <v>3</v>
      </c>
      <c r="E168" s="22" t="inlineStr">
        <is>
          <t>ヶ所</t>
        </is>
      </c>
      <c r="F168" s="24" t="n">
        <v>6880</v>
      </c>
      <c r="G168" s="24">
        <f>ROUND(D168*F168,0)</f>
        <v/>
      </c>
      <c r="H168" s="23" t="inlineStr"/>
    </row>
    <row r="169">
      <c r="A169" s="22" t="n">
        <v>17</v>
      </c>
      <c r="B169" s="23" t="inlineStr">
        <is>
          <t>フロント区画貫通処理</t>
        </is>
      </c>
      <c r="C169" s="23" t="inlineStr">
        <is>
          <t>フィブロック</t>
        </is>
      </c>
      <c r="D169" s="24" t="n">
        <v>1</v>
      </c>
      <c r="E169" s="22" t="inlineStr">
        <is>
          <t>式</t>
        </is>
      </c>
      <c r="F169" s="24" t="n">
        <v>125000</v>
      </c>
      <c r="G169" s="24">
        <f>ROUND(D169*F169,0)</f>
        <v/>
      </c>
      <c r="H169" s="23" t="inlineStr"/>
    </row>
    <row r="170">
      <c r="A170" s="22" t="n">
        <v>18</v>
      </c>
      <c r="B170" s="23" t="inlineStr">
        <is>
          <t>雑材・副資材・運搬・梱包材処理</t>
        </is>
      </c>
      <c r="C170" s="23" t="inlineStr"/>
      <c r="D170" s="24" t="n">
        <v>1</v>
      </c>
      <c r="E170" s="22" t="inlineStr">
        <is>
          <t>式</t>
        </is>
      </c>
      <c r="F170" s="24" t="n">
        <v>312500</v>
      </c>
      <c r="G170" s="24">
        <f>ROUND(D170*F170,0)</f>
        <v/>
      </c>
      <c r="H170" s="23" t="inlineStr"/>
    </row>
    <row r="171">
      <c r="A171" s="25" t="n"/>
      <c r="B171" s="26" t="inlineStr">
        <is>
          <t>照明・電気工事 小計</t>
        </is>
      </c>
      <c r="C171" s="25" t="n"/>
      <c r="D171" s="25" t="n"/>
      <c r="E171" s="25" t="n"/>
      <c r="F171" s="25" t="n"/>
      <c r="G171" s="27">
        <f>SUM(G153:G170)</f>
        <v/>
      </c>
      <c r="H171" s="25" t="n"/>
    </row>
    <row r="173">
      <c r="A173" s="21" t="inlineStr">
        <is>
          <t>12 標準化項目（GU標準仕様）</t>
        </is>
      </c>
    </row>
    <row r="174">
      <c r="A174" s="22" t="n">
        <v>1</v>
      </c>
      <c r="B174" s="23" t="inlineStr">
        <is>
          <t>身障者ブース スツール</t>
        </is>
      </c>
      <c r="C174" s="23" t="inlineStr">
        <is>
          <t>張地オクタビア 台座RK-6306 取付・運搬込</t>
        </is>
      </c>
      <c r="D174" s="24" t="n">
        <v>1</v>
      </c>
      <c r="E174" s="22" t="inlineStr">
        <is>
          <t>台</t>
        </is>
      </c>
      <c r="F174" s="24" t="n">
        <v>512500</v>
      </c>
      <c r="G174" s="24">
        <f>ROUND(D174*F174,0)</f>
        <v/>
      </c>
      <c r="H174" s="23" t="inlineStr"/>
    </row>
    <row r="175">
      <c r="A175" s="22" t="n">
        <v>2</v>
      </c>
      <c r="B175" s="23" t="inlineStr">
        <is>
          <t>壁面持ち出しスリット造作</t>
        </is>
      </c>
      <c r="C175" s="23" t="inlineStr">
        <is>
          <t>ロイヤルスタッド＋PB・補強・AEP N-87</t>
        </is>
      </c>
      <c r="D175" s="24" t="n">
        <v>40</v>
      </c>
      <c r="E175" s="22" t="inlineStr">
        <is>
          <t>㎡</t>
        </is>
      </c>
      <c r="F175" s="24" t="n">
        <v>16200</v>
      </c>
      <c r="G175" s="24">
        <f>ROUND(D175*F175,0)</f>
        <v/>
      </c>
      <c r="H175" s="23" t="inlineStr"/>
    </row>
    <row r="176">
      <c r="A176" s="22" t="n">
        <v>3</v>
      </c>
      <c r="B176" s="23" t="inlineStr">
        <is>
          <t>ロイヤルスリット＠300</t>
        </is>
      </c>
      <c r="C176" s="23" t="inlineStr">
        <is>
          <t>APS-14 N-87特注塗装 L2000 下地・取付込</t>
        </is>
      </c>
      <c r="D176" s="24" t="n">
        <v>60</v>
      </c>
      <c r="E176" s="22" t="inlineStr">
        <is>
          <t>本</t>
        </is>
      </c>
      <c r="F176" s="24" t="n">
        <v>15600</v>
      </c>
      <c r="G176" s="24">
        <f>ROUND(D176*F176,0)</f>
        <v/>
      </c>
      <c r="H176" s="23" t="inlineStr"/>
    </row>
    <row r="177">
      <c r="A177" s="22" t="n">
        <v>4</v>
      </c>
      <c r="B177" s="23" t="inlineStr">
        <is>
          <t>小口押さえ金物</t>
        </is>
      </c>
      <c r="C177" s="23" t="inlineStr">
        <is>
          <t>上下・両側面曲げ加工</t>
        </is>
      </c>
      <c r="D177" s="24" t="n">
        <v>1</v>
      </c>
      <c r="E177" s="22" t="inlineStr">
        <is>
          <t>式</t>
        </is>
      </c>
      <c r="F177" s="24" t="n">
        <v>227500</v>
      </c>
      <c r="G177" s="24">
        <f>ROUND(D177*F177,0)</f>
        <v/>
      </c>
      <c r="H177" s="23" t="inlineStr"/>
    </row>
    <row r="178">
      <c r="A178" s="22" t="n">
        <v>5</v>
      </c>
      <c r="B178" s="23" t="inlineStr">
        <is>
          <t>ベース壁面クロス</t>
        </is>
      </c>
      <c r="C178" s="23" t="inlineStr">
        <is>
          <t>ツヤ消し スリット以外</t>
        </is>
      </c>
      <c r="D178" s="24" t="n">
        <v>55</v>
      </c>
      <c r="E178" s="22" t="inlineStr">
        <is>
          <t>㎡</t>
        </is>
      </c>
      <c r="F178" s="24" t="n">
        <v>1690</v>
      </c>
      <c r="G178" s="24">
        <f>ROUND(D178*F178,0)</f>
        <v/>
      </c>
      <c r="H178" s="23" t="inlineStr"/>
    </row>
    <row r="179">
      <c r="A179" s="22" t="n">
        <v>6</v>
      </c>
      <c r="B179" s="23" t="inlineStr">
        <is>
          <t>壁面木棚</t>
        </is>
      </c>
      <c r="C179" s="23" t="inlineStr">
        <is>
          <t>オーク D450×W900 取付共</t>
        </is>
      </c>
      <c r="D179" s="24" t="n">
        <v>8</v>
      </c>
      <c r="E179" s="22" t="inlineStr">
        <is>
          <t>枚</t>
        </is>
      </c>
      <c r="F179" s="24" t="n">
        <v>21000</v>
      </c>
      <c r="G179" s="24">
        <f>ROUND(D179*F179,0)</f>
        <v/>
      </c>
      <c r="H179" s="23" t="inlineStr"/>
    </row>
    <row r="180">
      <c r="A180" s="22" t="n">
        <v>7</v>
      </c>
      <c r="B180" s="23" t="inlineStr">
        <is>
          <t>壁面ヘリンボーンパネル</t>
        </is>
      </c>
      <c r="C180" s="23" t="inlineStr">
        <is>
          <t>タモ柾目 ウレタンCL 加工・見切り・取付共</t>
        </is>
      </c>
      <c r="D180" s="24" t="n">
        <v>8</v>
      </c>
      <c r="E180" s="22" t="inlineStr">
        <is>
          <t>枚</t>
        </is>
      </c>
      <c r="F180" s="24" t="n">
        <v>43800</v>
      </c>
      <c r="G180" s="24">
        <f>ROUND(D180*F180,0)</f>
        <v/>
      </c>
      <c r="H180" s="23" t="inlineStr"/>
    </row>
    <row r="181">
      <c r="A181" s="22" t="n">
        <v>8</v>
      </c>
      <c r="B181" s="23" t="inlineStr">
        <is>
          <t>壁面ピクトサイン</t>
        </is>
      </c>
      <c r="C181" s="23" t="inlineStr">
        <is>
          <t>取付共</t>
        </is>
      </c>
      <c r="D181" s="24" t="n">
        <v>1</v>
      </c>
      <c r="E181" s="22" t="inlineStr">
        <is>
          <t>ヶ所</t>
        </is>
      </c>
      <c r="F181" s="24" t="n">
        <v>75000</v>
      </c>
      <c r="G181" s="24">
        <f>ROUND(D181*F181,0)</f>
        <v/>
      </c>
      <c r="H181" s="23" t="inlineStr"/>
    </row>
    <row r="182">
      <c r="A182" s="22" t="n">
        <v>9</v>
      </c>
      <c r="B182" s="23" t="inlineStr">
        <is>
          <t>支給カウンター類 据付</t>
        </is>
      </c>
      <c r="C182" s="23" t="inlineStr">
        <is>
          <t>レジ・サービス・バックカウンター・PCカウンター</t>
        </is>
      </c>
      <c r="D182" s="24" t="n">
        <v>3</v>
      </c>
      <c r="E182" s="22" t="inlineStr">
        <is>
          <t>人工</t>
        </is>
      </c>
      <c r="F182" s="24" t="n">
        <v>37500</v>
      </c>
      <c r="G182" s="24">
        <f>ROUND(D182*F182,0)</f>
        <v/>
      </c>
      <c r="H182" s="23" t="inlineStr">
        <is>
          <t>Y-01/Y-02</t>
        </is>
      </c>
    </row>
    <row r="183">
      <c r="A183" s="22" t="n">
        <v>10</v>
      </c>
      <c r="B183" s="23" t="inlineStr">
        <is>
          <t>運搬・諸経費</t>
        </is>
      </c>
      <c r="C183" s="23" t="inlineStr"/>
      <c r="D183" s="24" t="n">
        <v>1</v>
      </c>
      <c r="E183" s="22" t="inlineStr">
        <is>
          <t>式</t>
        </is>
      </c>
      <c r="F183" s="24" t="n">
        <v>375000</v>
      </c>
      <c r="G183" s="24">
        <f>ROUND(D183*F183,0)</f>
        <v/>
      </c>
      <c r="H183" s="23" t="inlineStr"/>
    </row>
    <row r="184">
      <c r="A184" s="25" t="n"/>
      <c r="B184" s="26" t="inlineStr">
        <is>
          <t>標準化項目（GU標準仕様） 小計</t>
        </is>
      </c>
      <c r="C184" s="25" t="n"/>
      <c r="D184" s="25" t="n"/>
      <c r="E184" s="25" t="n"/>
      <c r="F184" s="25" t="n"/>
      <c r="G184" s="27">
        <f>SUM(G174:G183)</f>
        <v/>
      </c>
      <c r="H184" s="25" t="n"/>
    </row>
    <row r="186">
      <c r="A186" s="21" t="inlineStr">
        <is>
          <t>13 夜間工事費</t>
        </is>
      </c>
    </row>
    <row r="187">
      <c r="A187" s="22" t="n">
        <v>1</v>
      </c>
      <c r="B187" s="23" t="inlineStr">
        <is>
          <t>夜間工事割増</t>
        </is>
      </c>
      <c r="C187" s="23" t="inlineStr">
        <is>
          <t>22:00〜07:00 全工種</t>
        </is>
      </c>
      <c r="D187" s="24" t="n">
        <v>444</v>
      </c>
      <c r="E187" s="22" t="inlineStr">
        <is>
          <t>人工</t>
        </is>
      </c>
      <c r="F187" s="24" t="n">
        <v>9380</v>
      </c>
      <c r="G187" s="24">
        <f>ROUND(D187*F187,0)</f>
        <v/>
      </c>
      <c r="H187" s="23" t="inlineStr">
        <is>
          <t>実績 工種別夜間人工の合計</t>
        </is>
      </c>
    </row>
    <row r="188">
      <c r="A188" s="22" t="n">
        <v>2</v>
      </c>
      <c r="B188" s="23" t="inlineStr">
        <is>
          <t>夜間警備費</t>
        </is>
      </c>
      <c r="C188" s="23" t="inlineStr"/>
      <c r="D188" s="24" t="n">
        <v>36</v>
      </c>
      <c r="E188" s="22" t="inlineStr">
        <is>
          <t>日</t>
        </is>
      </c>
      <c r="F188" s="24" t="n">
        <v>37500</v>
      </c>
      <c r="G188" s="24">
        <f>ROUND(D188*F188,0)</f>
        <v/>
      </c>
      <c r="H188" s="23" t="inlineStr"/>
    </row>
    <row r="189">
      <c r="A189" s="25" t="n"/>
      <c r="B189" s="26" t="inlineStr">
        <is>
          <t>夜間工事費 小計</t>
        </is>
      </c>
      <c r="C189" s="25" t="n"/>
      <c r="D189" s="25" t="n"/>
      <c r="E189" s="25" t="n"/>
      <c r="F189" s="25" t="n"/>
      <c r="G189" s="27">
        <f>SUM(G187:G188)</f>
        <v/>
      </c>
      <c r="H189" s="25" t="n"/>
    </row>
    <row r="191">
      <c r="A191" s="21" t="inlineStr">
        <is>
          <t>14 付帯工事</t>
        </is>
      </c>
    </row>
    <row r="192">
      <c r="A192" s="22" t="n">
        <v>1</v>
      </c>
      <c r="B192" s="23" t="inlineStr">
        <is>
          <t>現場指定産廃処理費</t>
        </is>
      </c>
      <c r="C192" s="23" t="inlineStr"/>
      <c r="D192" s="24" t="n">
        <v>1</v>
      </c>
      <c r="E192" s="22" t="inlineStr">
        <is>
          <t>式</t>
        </is>
      </c>
      <c r="F192" s="24" t="n">
        <v>500000</v>
      </c>
      <c r="G192" s="24">
        <f>ROUND(D192*F192,0)</f>
        <v/>
      </c>
      <c r="H192" s="23" t="inlineStr"/>
    </row>
    <row r="193">
      <c r="A193" s="22" t="n">
        <v>2</v>
      </c>
      <c r="B193" s="23" t="inlineStr">
        <is>
          <t>特殊揚重費</t>
        </is>
      </c>
      <c r="C193" s="23" t="inlineStr"/>
      <c r="D193" s="24" t="n">
        <v>1</v>
      </c>
      <c r="E193" s="22" t="inlineStr">
        <is>
          <t>式</t>
        </is>
      </c>
      <c r="F193" s="24" t="n">
        <v>375000</v>
      </c>
      <c r="G193" s="24">
        <f>ROUND(D193*F193,0)</f>
        <v/>
      </c>
      <c r="H193" s="23" t="inlineStr"/>
    </row>
    <row r="194">
      <c r="A194" s="22" t="n">
        <v>3</v>
      </c>
      <c r="B194" s="23" t="inlineStr">
        <is>
          <t>作業員駐車場費</t>
        </is>
      </c>
      <c r="C194" s="23" t="inlineStr">
        <is>
          <t>P8・P5 月極 20台×3ヶ月</t>
        </is>
      </c>
      <c r="D194" s="24" t="n">
        <v>1</v>
      </c>
      <c r="E194" s="22" t="inlineStr">
        <is>
          <t>式</t>
        </is>
      </c>
      <c r="F194" s="24" t="n">
        <v>375000</v>
      </c>
      <c r="G194" s="24">
        <f>ROUND(D194*F194,0)</f>
        <v/>
      </c>
      <c r="H194" s="23" t="inlineStr">
        <is>
          <t>施工指針書</t>
        </is>
      </c>
    </row>
    <row r="195">
      <c r="A195" s="25" t="n"/>
      <c r="B195" s="26" t="inlineStr">
        <is>
          <t>付帯工事 小計</t>
        </is>
      </c>
      <c r="C195" s="25" t="n"/>
      <c r="D195" s="25" t="n"/>
      <c r="E195" s="25" t="n"/>
      <c r="F195" s="25" t="n"/>
      <c r="G195" s="27">
        <f>SUM(G192:G194)</f>
        <v/>
      </c>
      <c r="H195" s="25" t="n"/>
    </row>
    <row r="197">
      <c r="A197" s="21" t="inlineStr">
        <is>
          <t>15 諸経費</t>
        </is>
      </c>
    </row>
    <row r="198">
      <c r="A198" s="22" t="n">
        <v>1</v>
      </c>
      <c r="B198" s="23" t="inlineStr">
        <is>
          <t>現場管理費</t>
        </is>
      </c>
      <c r="C198" s="23" t="inlineStr">
        <is>
          <t>正副2名常駐</t>
        </is>
      </c>
      <c r="D198" s="24" t="n">
        <v>1</v>
      </c>
      <c r="E198" s="22" t="inlineStr">
        <is>
          <t>式</t>
        </is>
      </c>
      <c r="F198" s="24" t="n">
        <v>3240000</v>
      </c>
      <c r="G198" s="24">
        <f>ROUND(D198*F198,0)</f>
        <v/>
      </c>
      <c r="H198" s="23" t="inlineStr"/>
    </row>
    <row r="199">
      <c r="A199" s="22" t="n">
        <v>2</v>
      </c>
      <c r="B199" s="23" t="inlineStr">
        <is>
          <t>現場監理・調整業務</t>
        </is>
      </c>
      <c r="C199" s="23" t="inlineStr"/>
      <c r="D199" s="24" t="n">
        <v>1</v>
      </c>
      <c r="E199" s="22" t="inlineStr">
        <is>
          <t>式</t>
        </is>
      </c>
      <c r="F199" s="24" t="n">
        <v>750000</v>
      </c>
      <c r="G199" s="24">
        <f>ROUND(D199*F199,0)</f>
        <v/>
      </c>
      <c r="H199" s="23" t="inlineStr"/>
    </row>
    <row r="200">
      <c r="A200" s="22" t="n">
        <v>3</v>
      </c>
      <c r="B200" s="23" t="inlineStr">
        <is>
          <t>現場諸経費</t>
        </is>
      </c>
      <c r="C200" s="23" t="inlineStr"/>
      <c r="D200" s="24" t="n">
        <v>1</v>
      </c>
      <c r="E200" s="22" t="inlineStr">
        <is>
          <t>式</t>
        </is>
      </c>
      <c r="F200" s="24" t="n">
        <v>337500</v>
      </c>
      <c r="G200" s="24">
        <f>ROUND(D200*F200,0)</f>
        <v/>
      </c>
      <c r="H200" s="23" t="inlineStr"/>
    </row>
    <row r="201">
      <c r="A201" s="22" t="n">
        <v>4</v>
      </c>
      <c r="B201" s="23" t="inlineStr">
        <is>
          <t>施工承認図作成費</t>
        </is>
      </c>
      <c r="C201" s="23" t="inlineStr"/>
      <c r="D201" s="24" t="n">
        <v>1</v>
      </c>
      <c r="E201" s="22" t="inlineStr">
        <is>
          <t>式</t>
        </is>
      </c>
      <c r="F201" s="24" t="n">
        <v>125000</v>
      </c>
      <c r="G201" s="24">
        <f>ROUND(D201*F201,0)</f>
        <v/>
      </c>
      <c r="H201" s="23" t="inlineStr"/>
    </row>
    <row r="202">
      <c r="A202" s="22" t="n">
        <v>5</v>
      </c>
      <c r="B202" s="23" t="inlineStr">
        <is>
          <t>竣工図書作成費</t>
        </is>
      </c>
      <c r="C202" s="23" t="inlineStr">
        <is>
          <t>竣工写真含む</t>
        </is>
      </c>
      <c r="D202" s="24" t="n">
        <v>1</v>
      </c>
      <c r="E202" s="22" t="inlineStr">
        <is>
          <t>式</t>
        </is>
      </c>
      <c r="F202" s="24" t="n">
        <v>125000</v>
      </c>
      <c r="G202" s="24">
        <f>ROUND(D202*F202,0)</f>
        <v/>
      </c>
      <c r="H202" s="23" t="inlineStr">
        <is>
          <t>施工指針書 竣工後1ヶ月以内</t>
        </is>
      </c>
    </row>
    <row r="203">
      <c r="A203" s="22" t="n">
        <v>6</v>
      </c>
      <c r="B203" s="23" t="inlineStr">
        <is>
          <t>会社経費</t>
        </is>
      </c>
      <c r="C203" s="23" t="inlineStr"/>
      <c r="D203" s="24" t="n">
        <v>1</v>
      </c>
      <c r="E203" s="22" t="inlineStr">
        <is>
          <t>式</t>
        </is>
      </c>
      <c r="F203" s="24" t="n">
        <v>812500</v>
      </c>
      <c r="G203" s="24">
        <f>ROUND(D203*F203,0)</f>
        <v/>
      </c>
      <c r="H203" s="23" t="inlineStr"/>
    </row>
    <row r="204">
      <c r="A204" s="22" t="n">
        <v>7</v>
      </c>
      <c r="B204" s="23" t="inlineStr">
        <is>
          <t>1年点検調査費</t>
        </is>
      </c>
      <c r="C204" s="23" t="inlineStr"/>
      <c r="D204" s="24" t="n">
        <v>1</v>
      </c>
      <c r="E204" s="22" t="inlineStr">
        <is>
          <t>式</t>
        </is>
      </c>
      <c r="F204" s="24" t="n">
        <v>125000</v>
      </c>
      <c r="G204" s="24">
        <f>ROUND(D204*F204,0)</f>
        <v/>
      </c>
      <c r="H204" s="23" t="inlineStr"/>
    </row>
    <row r="205">
      <c r="A205" s="25" t="n"/>
      <c r="B205" s="26" t="inlineStr">
        <is>
          <t>諸経費 小計</t>
        </is>
      </c>
      <c r="C205" s="25" t="n"/>
      <c r="D205" s="25" t="n"/>
      <c r="E205" s="25" t="n"/>
      <c r="F205" s="25" t="n"/>
      <c r="G205" s="27">
        <f>SUM(G198:G204)</f>
        <v/>
      </c>
      <c r="H205" s="25" t="n"/>
    </row>
  </sheetData>
  <mergeCells count="15">
    <mergeCell ref="A70:H70"/>
    <mergeCell ref="A186:H186"/>
    <mergeCell ref="A59:H59"/>
    <mergeCell ref="A24:H24"/>
    <mergeCell ref="A125:H125"/>
    <mergeCell ref="A152:H152"/>
    <mergeCell ref="A137:H137"/>
    <mergeCell ref="A112:H112"/>
    <mergeCell ref="A191:H191"/>
    <mergeCell ref="A49:H49"/>
    <mergeCell ref="A102:H102"/>
    <mergeCell ref="A5:H5"/>
    <mergeCell ref="A173:H173"/>
    <mergeCell ref="A89:H89"/>
    <mergeCell ref="A197:H197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2026-10-21T10:31:58Z</dcterms:created>
  <dcterms:modified xmlns:dcterms="http://purl.org/dc/terms/" xmlns:xsi="http://www.w3.org/2001/XMLSchema-instance" xsi:type="dcterms:W3CDTF">2026-10-21T10:31:59Z</dcterms:modified>
</cp:coreProperties>
</file>